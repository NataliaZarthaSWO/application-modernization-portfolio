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ftwareone.sharepoint.com/sites/ApplicationServicesPractice/App Services Portfolio/CoE - Community of Excellence/2. Services Portfolio/5. AI Powered Application Modernization/1. Advisory/Delivery Artifacts/7. Business Case &amp; TCO Modeling/Templates AMA v1.2/"/>
    </mc:Choice>
  </mc:AlternateContent>
  <xr:revisionPtr revIDLastSave="81" documentId="8_{D8D951E2-9A3E-4AD3-B491-544F6D508A87}" xr6:coauthVersionLast="47" xr6:coauthVersionMax="47" xr10:uidLastSave="{82C24689-5A35-4B19-8F61-DAAE6025D906}"/>
  <bookViews>
    <workbookView xWindow="28680" yWindow="-120" windowWidth="29040" windowHeight="16440" firstSheet="2" activeTab="2" xr2:uid="{C1C1D5D5-2A58-44E5-833D-0D0FD1710187}"/>
  </bookViews>
  <sheets>
    <sheet name="Información General" sheetId="1" r:id="rId1"/>
    <sheet name="Costos Operacionales" sheetId="3" r:id="rId2"/>
    <sheet name="Costos Negocio" sheetId="4" r:id="rId3"/>
    <sheet name="Analysis" sheetId="7" state="hidden" r:id="rId4"/>
    <sheet name="Dropdownlist" sheetId="13" state="hidden" r:id="rId5"/>
    <sheet name="Productivity" sheetId="12" state="hidden" r:id="rId6"/>
    <sheet name="To graph" sheetId="15" state="hidden" r:id="rId7"/>
    <sheet name="Dashboard" sheetId="9" state="hidden" r:id="rId8"/>
    <sheet name="Business Case Summary" sheetId="6" state="hidden" r:id="rId9"/>
    <sheet name="Consolidated_Saving_Costs" sheetId="17" state="hidden" r:id="rId10"/>
    <sheet name="Consolidated" sheetId="18" state="hidden" r:id="rId11"/>
  </sheets>
  <definedNames>
    <definedName name="annual_extra_support_cost">'Costos Operacionales'!$E$31</definedName>
    <definedName name="annual_repair_cost">'Costos Operacionales'!$E$29</definedName>
    <definedName name="application_name">'Información General'!$E$16</definedName>
    <definedName name="average_hourly_cost_employee_use_application_USD">'Costos Operacionales'!$E$20</definedName>
    <definedName name="average_hourly_cost_it_employee_monthly">'Costos Operacionales'!$E$18</definedName>
    <definedName name="average_many_it_employees">'Costos Operacionales'!$E$14</definedName>
    <definedName name="business_cloud_cost_1_year">Analysis!$E$136</definedName>
    <definedName name="business_cloud_cost_2_year">Analysis!$F$136</definedName>
    <definedName name="business_cloud_cost_3_year">Analysis!$G$136</definedName>
    <definedName name="business_legacy_cost_1_year">Analysis!$E$120</definedName>
    <definedName name="business_legacy_cost_2_year">Analysis!$F$120</definedName>
    <definedName name="business_legacy_cost_3_year">Analysis!$G$120</definedName>
    <definedName name="cloud_availability_per_month">Analysis!$E$40</definedName>
    <definedName name="cloud_licensing_costs_1_year">Analysis!$E$38</definedName>
    <definedName name="company_name">'Información General'!$E$10</definedName>
    <definedName name="Cost_of_change_Legacy_cost_while_implementing_cloud">Table_implementation_costs_summary_1[Cost of change (Legacy cost while implementing cloud)]</definedName>
    <definedName name="current_date">Analysis!$E$11</definedName>
    <definedName name="date_2_year">Analysis!$G$11</definedName>
    <definedName name="date_3_year">Analysis!$H$11</definedName>
    <definedName name="date_license_expire">'Costos Operacionales'!$E$77</definedName>
    <definedName name="date_next_license_purchase">'Costos Operacionales'!$E$79</definedName>
    <definedName name="date_next_support_purchase">'Costos Operacionales'!$E$85</definedName>
    <definedName name="days_of_the_month">Analysis!$E$13</definedName>
    <definedName name="dead_time_due_to_normal_slowness_min_per_day_consultant">Analysis!$E$26</definedName>
    <definedName name="dead_time_due_to_severe_slowness_cloud_min_per_day">Analysis!$E$42</definedName>
    <definedName name="downtime_cloud_costs_1_year">Analysis!$E$134</definedName>
    <definedName name="downtime_cloud_costs_2_year">Analysis!$F$134</definedName>
    <definedName name="downtime_cloud_costs_3_year">Analysis!$G$134</definedName>
    <definedName name="downtime_legacy_cost_1_year">Analysis!$E$118</definedName>
    <definedName name="downtime_legacy_costs_1_year">Analysis!$E$118</definedName>
    <definedName name="downtime_legacy_costs_2_year">Analysis!$F$118</definedName>
    <definedName name="downtime_legacy_costs_3_year">Analysis!$G$118</definedName>
    <definedName name="earning_from_change_1_year">Analysis!$E$145</definedName>
    <definedName name="earning_from_change_2_year">Analysis!$F$145</definedName>
    <definedName name="earning_from_change_3_year">Analysis!$G$145</definedName>
    <definedName name="how_often_pay_subscription_per_year">'Costos Operacionales'!$E$70</definedName>
    <definedName name="iaas_infrastructure_cost">'Costos Operacionales'!$E$59</definedName>
    <definedName name="increased_productivity_IT_team_1_year">Productivity!$E$22</definedName>
    <definedName name="infrastructure_cloud_cost_1_year">Analysis!$E$36</definedName>
    <definedName name="infrastructure_cloud_cost_2_year">Analysis!$F$129</definedName>
    <definedName name="infrastructure_cloud_cost_3_year">Analysis!$G$129</definedName>
    <definedName name="infrastructure_cloud_cost_consultant_1_year">Analysis!$E$129</definedName>
    <definedName name="infrastructure_legacy_cost_1_year">Analysis!$E$113</definedName>
    <definedName name="infrastructure_legacy_cost_2_year">Analysis!$F$113</definedName>
    <definedName name="infrastructure_legacy_cost_3_year">Analysis!$G$113</definedName>
    <definedName name="initial_investment">Analysis!$E$15</definedName>
    <definedName name="it_operational_productivity">Analysis!$E$32</definedName>
    <definedName name="it_salary_cloud_cost_1_year">Analysis!$E$127</definedName>
    <definedName name="it_salary_cloud_cost_2_year">Analysis!$F$127</definedName>
    <definedName name="it_salary_cloud_cost_3_year">Analysis!$G$127</definedName>
    <definedName name="it_salary_legacy_cost_1_year">Analysis!$E$111</definedName>
    <definedName name="it_salary_legacy_cost_2_year">Analysis!$F$111</definedName>
    <definedName name="it_salary_legacy_cost_3_year">Analysis!$G$111</definedName>
    <definedName name="it_salary_legacy_cost_monthly">Analysis!$E$54</definedName>
    <definedName name="licensing_cloud_cost_1_year">Analysis!$E$130</definedName>
    <definedName name="licensing_cloud_cost_2_year">Analysis!$F$130</definedName>
    <definedName name="licensing_cloud_cost_3_year">Analysis!$G$130</definedName>
    <definedName name="licensing_legacy_cost_1_year">Analysis!$E$114</definedName>
    <definedName name="licensing_legacy_cost_2_year">Analysis!$F$114</definedName>
    <definedName name="licensing_legacy_cost_3_year">Analysis!$G$114</definedName>
    <definedName name="many_times_the_app_gets_shut_down_in_weekly">'Costos Negocio'!$E$18</definedName>
    <definedName name="many_times_the_app_gets_slow_in_daily_minutes">'Costos Negocio'!$E$14</definedName>
    <definedName name="Modernization_Development_Cost">Table_implementation_costs_summary_1[Modernization Development Cost]</definedName>
    <definedName name="months_of_the_initial_investment">Analysis!$D$18</definedName>
    <definedName name="months_of_year">Analysis!$E$14</definedName>
    <definedName name="number_of_dead_seconds_per_minute">Analysis!$E$24</definedName>
    <definedName name="number_of_months_of_implementation">Analysis!$E$34</definedName>
    <definedName name="number_people_use_the_application">'Costos Operacionales'!$E$22</definedName>
    <definedName name="on_premise_infrastucture_cost_with_depreciation">'Costos Operacionales'!$E$51</definedName>
    <definedName name="on_Premise_Invest">'Costos Operacionales'!$E$49</definedName>
    <definedName name="On_Premise_operation">'Costos Operacionales'!$E$51</definedName>
    <definedName name="operational_cloud_cost_1_year">Analysis!$E$131</definedName>
    <definedName name="operational_cloud_cost_2_year">Analysis!$F$131</definedName>
    <definedName name="operational_cloud_cost_3_year">Analysis!$G$131</definedName>
    <definedName name="operational_legacy_cost_1_year">Analysis!$E$115</definedName>
    <definedName name="operational_legacy_cost_2_year">Analysis!$F$115</definedName>
    <definedName name="operational_legacy_cost_3_year">Analysis!$G$115</definedName>
    <definedName name="own_license_cost">'Costos Operacionales'!$E$81</definedName>
    <definedName name="payback">'Business Case Summary'!$E$16</definedName>
    <definedName name="productivity_1_year">Productivity!$E$22</definedName>
    <definedName name="productivity_2_year">Productivity!$F$22</definedName>
    <definedName name="productivity_3_year">Productivity!$G$22</definedName>
    <definedName name="rate_of_inflation">Analysis!$E$12</definedName>
    <definedName name="ROI_1_year">Analysis!$E$146</definedName>
    <definedName name="ROI_2_year">Analysis!$F$146</definedName>
    <definedName name="ROI_3_year">Analysis!$G$146</definedName>
    <definedName name="salary_money_in_it_operation_salary_unexpected_cost_1_year_productivity">Productivity!$E$24</definedName>
    <definedName name="salary_money_in_it_operation_salary_unexpected_cost_2_year_productivity">Productivity!$F$24</definedName>
    <definedName name="salary_money_in_it_operation_salary_unexpected_cost_3_year_productivity">Productivity!$G$24</definedName>
    <definedName name="saving_app_shut_down_cost_percentage_1_year">Analysis!$E$152</definedName>
    <definedName name="saving_app_shut_down_cost_percentage_2_year">Analysis!$F$152</definedName>
    <definedName name="saving_app_shut_down_cost_percentage_3_year">Analysis!$G$152</definedName>
    <definedName name="saving_app_slow_down_cost_percentage_1_year">Analysis!$E$154</definedName>
    <definedName name="saving_app_slow_down_cost_percentage_2_year">Analysis!$F$154</definedName>
    <definedName name="saving_app_slow_down_cost_percentage_3_year">Analysis!$G$154</definedName>
    <definedName name="saving_infrastructure_cost_percentage_1_year">Analysis!$E$157</definedName>
    <definedName name="saving_infrastructure_cost_percentage_2_year">Analysis!$F$157</definedName>
    <definedName name="saving_infrastructure_cost_percentage_3_year">Analysis!$G$157</definedName>
    <definedName name="saving_infrastructure_cost_USD_1_year">Analysis!$E$158</definedName>
    <definedName name="saving_infrastructure_cost_USD_2_year">Analysis!$F$158</definedName>
    <definedName name="saving_infrastructure_cost_USD_3_year">Analysis!$G$158</definedName>
    <definedName name="saving_IT_salary_cost_percentage_1_year">Analysis!$E$159</definedName>
    <definedName name="saving_IT_salary_cost_percentage_2_year">Analysis!$F$159</definedName>
    <definedName name="saving_IT_salary_cost_percentage_3_year">Analysis!$G$159</definedName>
    <definedName name="saving_IT_salary_cost_USD_1_year">Analysis!$E$160</definedName>
    <definedName name="saving_IT_salary_cost_USD_2_year">Analysis!$F$160</definedName>
    <definedName name="saving_IT_salary_cost_USD_3_year">Analysis!$G$160</definedName>
    <definedName name="saving_IT_unexpected_cost_percentage_1_year">Analysis!$E$161</definedName>
    <definedName name="saving_IT_unexpected_cost_percentage_2_year">Analysis!$F$161</definedName>
    <definedName name="saving_IT_unexpected_cost_percentage_3_year">Analysis!$G$161</definedName>
    <definedName name="saving_IT_unexpected_cost_USD_1_year">Analysis!$E$162</definedName>
    <definedName name="saving_IT_unexpected_cost_USD_2_year">Analysis!$F$162</definedName>
    <definedName name="saving_IT_unexpected_cost_USD_3_year">Analysis!$G$162</definedName>
    <definedName name="saving_money_improvements_productivity_2_year">Productivity!$F$25</definedName>
    <definedName name="saving_money_improvements_productivity_percentage_1_year">Productivity!$E$29</definedName>
    <definedName name="saving_money_improvements_productivity_percentage_2_year">Productivity!$F$29</definedName>
    <definedName name="saving_money_improvements_productivity_percentage_3_year">Productivity!$G$29</definedName>
    <definedName name="Saving_money_show_down_and_slow_down_1_year">Productivity!$E$23</definedName>
    <definedName name="Saving_money_show_down_and_slow_down_2_year">Productivity!$F$23</definedName>
    <definedName name="Saving_money_show_down_and_slow_down_3_year">Productivity!$G$23</definedName>
    <definedName name="savings_in_operational_expenditures_1_year">Analysis!$E$144</definedName>
    <definedName name="savings_in_operational_expenditures_2_year">Analysis!$F$144</definedName>
    <definedName name="savings_in_operational_expenditures_3_year">Analysis!$G$144</definedName>
    <definedName name="savings_money_improvements_productivity_1_year">Productivity!$E$25</definedName>
    <definedName name="savings_money_improvements_productivity_3_year">Productivity!$G$25</definedName>
    <definedName name="shut_down_cloud_cost_1_year">Analysis!$E$135</definedName>
    <definedName name="shut_down_cloud_cost_2_year">Analysis!$F$135</definedName>
    <definedName name="shut_down_cloud_cost_3_year">Analysis!$G$135</definedName>
    <definedName name="shut_down_legacy_cost_1_year">Analysis!$E$119</definedName>
    <definedName name="shut_down_legacy_cost_2_year">Analysis!$F$119</definedName>
    <definedName name="shut_down_legacy_cost_3_year">Analysis!$G$119</definedName>
    <definedName name="shutdown_hours_monthly_cloud">Analysis!#REF!</definedName>
    <definedName name="slowdown_hours_monthly_cloud">Analysis!#REF!</definedName>
    <definedName name="subscription_value">'Costos Operacionales'!$E$72</definedName>
    <definedName name="support_cost">'Costos Operacionales'!$E$83</definedName>
    <definedName name="TCO_reduction_1_year_percentage">'Business Case Summary'!$L$19</definedName>
    <definedName name="TCO_reduction_1_year_USD">'Business Case Summary'!$L$20</definedName>
    <definedName name="TCO_reduction_2_year_percentage">'Business Case Summary'!$M$19</definedName>
    <definedName name="TCO_reduction_2_year_USD">'Business Case Summary'!$M$20</definedName>
    <definedName name="TCO_reduction_3_year_percentage">'Business Case Summary'!$N$19</definedName>
    <definedName name="TCO_reduction_3_year_USD">'Business Case Summary'!$N$20</definedName>
    <definedName name="thrid_party_infrastructure_cost">'Costos Operacionales'!$E$55</definedName>
    <definedName name="total_cloud_cost_1_year">Analysis!$E$137</definedName>
    <definedName name="total_cloud_cost_2_year">Analysis!$F$137</definedName>
    <definedName name="total_cloud_cost_3_year">Analysis!$G$137</definedName>
    <definedName name="total_dead_time_cloud_min_per_day">Analysis!$E$44</definedName>
    <definedName name="total_legacy_cost_1_year">Analysis!$E$121</definedName>
    <definedName name="total_legacy_cost_2_year">Analysis!$F$121</definedName>
    <definedName name="total_legacy_cost_3_year">Analysis!$G$121</definedName>
    <definedName name="unexpected_cloud_cost_1_year">Analysis!$E$128</definedName>
    <definedName name="unexpected_cloud_cost_2_year">Analysis!$F$128</definedName>
    <definedName name="unexpected_cloud_cost_3_year">Analysis!$G$128</definedName>
    <definedName name="unexpected_legacy_cost_1_year">Analysis!$E$112</definedName>
    <definedName name="unexpected_legacy_cost_2_year">Analysis!$F$112</definedName>
    <definedName name="unexpected_legacy_cost_3_year">Analysis!$G$112</definedName>
    <definedName name="working_hours_per_day">'Costos Negocio'!$E$24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2" l="1"/>
  <c r="F13" i="12"/>
  <c r="F12" i="17" l="1"/>
  <c r="U12" i="17" l="1"/>
  <c r="E12" i="17" l="1"/>
  <c r="C12" i="17" l="1"/>
  <c r="E30" i="6"/>
  <c r="E8" i="6"/>
  <c r="F8" i="9"/>
  <c r="E8" i="7"/>
  <c r="E12" i="4"/>
  <c r="E12" i="3"/>
  <c r="E13" i="12" l="1"/>
  <c r="E98" i="7" l="1"/>
  <c r="E119" i="7" s="1"/>
  <c r="P12" i="17" s="1"/>
  <c r="E95" i="7"/>
  <c r="F15" i="12"/>
  <c r="E15" i="12"/>
  <c r="E14" i="12"/>
  <c r="F12" i="12"/>
  <c r="E12" i="12"/>
  <c r="E112" i="7"/>
  <c r="E102" i="7"/>
  <c r="E101" i="7"/>
  <c r="E129" i="7"/>
  <c r="E130" i="7"/>
  <c r="V12" i="17" s="1"/>
  <c r="E84" i="7"/>
  <c r="E80" i="7"/>
  <c r="E72" i="7"/>
  <c r="E68" i="7"/>
  <c r="E67" i="7"/>
  <c r="E69" i="7"/>
  <c r="E66" i="7"/>
  <c r="E54" i="7"/>
  <c r="E55" i="7" s="1"/>
  <c r="E128" i="7" l="1"/>
  <c r="K12" i="17"/>
  <c r="E135" i="7"/>
  <c r="E152" i="7" s="1"/>
  <c r="E57" i="7"/>
  <c r="F34" i="6"/>
  <c r="E11" i="7"/>
  <c r="E81" i="7" s="1"/>
  <c r="T12" i="17" l="1"/>
  <c r="E161" i="7"/>
  <c r="AI12" i="17" s="1"/>
  <c r="E162" i="7"/>
  <c r="AG12" i="17"/>
  <c r="Y12" i="17"/>
  <c r="E153" i="7"/>
  <c r="G11" i="7"/>
  <c r="F81" i="7" s="1"/>
  <c r="H11" i="7" l="1"/>
  <c r="G81" i="7" s="1"/>
  <c r="E70" i="7"/>
  <c r="E82" i="7"/>
  <c r="E114" i="7" l="1"/>
  <c r="E163" i="7" s="1"/>
  <c r="E113" i="7"/>
  <c r="E157" i="7" s="1"/>
  <c r="E164" i="7" l="1"/>
  <c r="E26" i="12"/>
  <c r="L12" i="17"/>
  <c r="M12" i="17"/>
  <c r="E158" i="7"/>
  <c r="AK12" i="17"/>
  <c r="E96" i="7"/>
  <c r="E97" i="7" s="1"/>
  <c r="E103" i="7" l="1"/>
  <c r="E118" i="7"/>
  <c r="O12" i="17" s="1"/>
  <c r="E134" i="7" l="1"/>
  <c r="E154" i="7" s="1"/>
  <c r="E17" i="12"/>
  <c r="E16" i="12" s="1"/>
  <c r="F17" i="12"/>
  <c r="F16" i="12" s="1"/>
  <c r="AH12" i="17" l="1"/>
  <c r="X12" i="17"/>
  <c r="E155" i="7"/>
  <c r="E22" i="12"/>
  <c r="AF12" i="17" s="1"/>
  <c r="E23" i="12" l="1"/>
  <c r="E168" i="7" s="1"/>
  <c r="E11" i="6"/>
  <c r="AL12" i="17" l="1"/>
  <c r="E104" i="7"/>
  <c r="E12" i="7"/>
  <c r="F80" i="7" s="1"/>
  <c r="G80" i="7" l="1"/>
  <c r="G82" i="7" s="1"/>
  <c r="G114" i="7" s="1"/>
  <c r="BY12" i="17" s="1"/>
  <c r="F82" i="7"/>
  <c r="F114" i="7" s="1"/>
  <c r="AS12" i="17" s="1"/>
  <c r="F129" i="7"/>
  <c r="F119" i="7"/>
  <c r="F112" i="7"/>
  <c r="AQ12" i="17" s="1"/>
  <c r="F130" i="7"/>
  <c r="F135" i="7"/>
  <c r="BE12" i="17" s="1"/>
  <c r="F113" i="7"/>
  <c r="F118" i="7"/>
  <c r="F22" i="12"/>
  <c r="BL12" i="17" s="1"/>
  <c r="F23" i="12"/>
  <c r="F168" i="7" s="1"/>
  <c r="E58" i="7"/>
  <c r="E99" i="7"/>
  <c r="AU12" i="17" l="1"/>
  <c r="AV12" i="17"/>
  <c r="F152" i="7"/>
  <c r="BM12" i="17" s="1"/>
  <c r="F163" i="7"/>
  <c r="BA12" i="17"/>
  <c r="F157" i="7"/>
  <c r="BQ12" i="17" s="1"/>
  <c r="F164" i="7"/>
  <c r="G23" i="12"/>
  <c r="G168" i="7" s="1"/>
  <c r="BR12" i="17"/>
  <c r="G130" i="7"/>
  <c r="G163" i="7" s="1"/>
  <c r="BB12" i="17"/>
  <c r="F26" i="12"/>
  <c r="AR12" i="17"/>
  <c r="G22" i="12"/>
  <c r="CR12" i="17" s="1"/>
  <c r="G118" i="7"/>
  <c r="G113" i="7"/>
  <c r="F158" i="7"/>
  <c r="G135" i="7"/>
  <c r="CK12" i="17" s="1"/>
  <c r="G112" i="7"/>
  <c r="BW12" i="17" s="1"/>
  <c r="G119" i="7"/>
  <c r="F153" i="7"/>
  <c r="G129" i="7"/>
  <c r="F128" i="7"/>
  <c r="E120" i="7"/>
  <c r="E105" i="7"/>
  <c r="E111" i="7"/>
  <c r="F134" i="7"/>
  <c r="BD12" i="17" s="1"/>
  <c r="F154" i="7" l="1"/>
  <c r="BN12" i="17" s="1"/>
  <c r="CB12" i="17"/>
  <c r="G152" i="7"/>
  <c r="CS12" i="17" s="1"/>
  <c r="CA12" i="17"/>
  <c r="CG12" i="17"/>
  <c r="G157" i="7"/>
  <c r="CW12" i="17" s="1"/>
  <c r="AZ12" i="17"/>
  <c r="F161" i="7"/>
  <c r="BO12" i="17" s="1"/>
  <c r="CH12" i="17"/>
  <c r="G164" i="7"/>
  <c r="CX12" i="17"/>
  <c r="Q12" i="17"/>
  <c r="E30" i="15"/>
  <c r="E24" i="12"/>
  <c r="J12" i="17"/>
  <c r="G26" i="12"/>
  <c r="BX12" i="17"/>
  <c r="E24" i="15"/>
  <c r="E13" i="15"/>
  <c r="G162" i="7"/>
  <c r="G158" i="7"/>
  <c r="G134" i="7"/>
  <c r="G154" i="7" s="1"/>
  <c r="G153" i="7"/>
  <c r="F155" i="7"/>
  <c r="F111" i="7"/>
  <c r="F162" i="7"/>
  <c r="G128" i="7"/>
  <c r="E127" i="7"/>
  <c r="F136" i="7"/>
  <c r="F120" i="7"/>
  <c r="E115" i="7"/>
  <c r="E136" i="7"/>
  <c r="S12" i="17" l="1"/>
  <c r="E159" i="7"/>
  <c r="CF12" i="17"/>
  <c r="G161" i="7"/>
  <c r="CU12" i="17" s="1"/>
  <c r="E169" i="7"/>
  <c r="AN12" i="17"/>
  <c r="CT12" i="17"/>
  <c r="CJ12" i="17"/>
  <c r="F31" i="15"/>
  <c r="BF12" i="17"/>
  <c r="F24" i="12"/>
  <c r="AP12" i="17"/>
  <c r="AW12" i="17"/>
  <c r="F30" i="15"/>
  <c r="E31" i="15"/>
  <c r="Z12" i="17"/>
  <c r="E32" i="15"/>
  <c r="N12" i="17"/>
  <c r="E160" i="7"/>
  <c r="F23" i="15"/>
  <c r="F16" i="15"/>
  <c r="E26" i="15"/>
  <c r="E14" i="15"/>
  <c r="E23" i="15"/>
  <c r="E16" i="15"/>
  <c r="F13" i="15"/>
  <c r="F24" i="15"/>
  <c r="G155" i="7"/>
  <c r="G111" i="7"/>
  <c r="F127" i="7"/>
  <c r="AJ12" i="17"/>
  <c r="G136" i="7"/>
  <c r="G120" i="7"/>
  <c r="F115" i="7"/>
  <c r="E121" i="7"/>
  <c r="E131" i="7"/>
  <c r="E144" i="7" s="1"/>
  <c r="E25" i="12"/>
  <c r="E167" i="7" s="1"/>
  <c r="AY12" i="17" l="1"/>
  <c r="F159" i="7"/>
  <c r="BP12" i="17" s="1"/>
  <c r="F169" i="7"/>
  <c r="BT12" i="17"/>
  <c r="AM12" i="17"/>
  <c r="E38" i="6"/>
  <c r="G24" i="12"/>
  <c r="BV12" i="17"/>
  <c r="CC12" i="17"/>
  <c r="G30" i="15"/>
  <c r="E33" i="15"/>
  <c r="W12" i="17"/>
  <c r="G31" i="15"/>
  <c r="CL12" i="17"/>
  <c r="AT12" i="17"/>
  <c r="R12" i="17"/>
  <c r="F32" i="15"/>
  <c r="F160" i="7"/>
  <c r="G13" i="15"/>
  <c r="G24" i="15"/>
  <c r="G15" i="15"/>
  <c r="E15" i="15"/>
  <c r="F15" i="15"/>
  <c r="G14" i="15"/>
  <c r="F26" i="15"/>
  <c r="F14" i="15"/>
  <c r="G23" i="15"/>
  <c r="G16" i="15"/>
  <c r="E17" i="15"/>
  <c r="E25" i="15"/>
  <c r="G127" i="7"/>
  <c r="F121" i="7"/>
  <c r="E34" i="6"/>
  <c r="I12" i="17" s="1" a="1"/>
  <c r="I12" i="17" s="1"/>
  <c r="E27" i="12"/>
  <c r="F25" i="12"/>
  <c r="F167" i="7" s="1"/>
  <c r="G115" i="7"/>
  <c r="F131" i="7"/>
  <c r="F144" i="7" s="1"/>
  <c r="E137" i="7"/>
  <c r="CE12" i="17" l="1"/>
  <c r="G159" i="7"/>
  <c r="CV12" i="17" s="1"/>
  <c r="E39" i="15"/>
  <c r="E15" i="7"/>
  <c r="D12" i="17" s="1"/>
  <c r="E29" i="12"/>
  <c r="H26" i="12"/>
  <c r="H24" i="12"/>
  <c r="H23" i="12"/>
  <c r="G169" i="7"/>
  <c r="CZ12" i="17"/>
  <c r="F39" i="15"/>
  <c r="BS12" i="17"/>
  <c r="F40" i="15"/>
  <c r="C45" i="15"/>
  <c r="E40" i="15"/>
  <c r="H40" i="15"/>
  <c r="G40" i="15"/>
  <c r="F33" i="15"/>
  <c r="BC12" i="17"/>
  <c r="AA12" i="17"/>
  <c r="BZ12" i="17"/>
  <c r="AX12" i="17"/>
  <c r="AC12" i="17"/>
  <c r="G32" i="15"/>
  <c r="G26" i="15"/>
  <c r="L20" i="6"/>
  <c r="G18" i="15"/>
  <c r="E18" i="15"/>
  <c r="F18" i="15"/>
  <c r="F17" i="15"/>
  <c r="F25" i="15"/>
  <c r="G160" i="7"/>
  <c r="E145" i="7"/>
  <c r="F137" i="7"/>
  <c r="E23" i="6"/>
  <c r="L18" i="6"/>
  <c r="E116" i="7"/>
  <c r="G131" i="7"/>
  <c r="G144" i="7" s="1"/>
  <c r="F27" i="12"/>
  <c r="F29" i="12" s="1"/>
  <c r="G25" i="12"/>
  <c r="G121" i="7"/>
  <c r="I24" i="12" l="1"/>
  <c r="E166" i="7"/>
  <c r="I23" i="12"/>
  <c r="I26" i="12"/>
  <c r="E146" i="7"/>
  <c r="L19" i="6"/>
  <c r="AO12" i="17" s="1"/>
  <c r="F166" i="7"/>
  <c r="G166" i="7"/>
  <c r="CY12" i="17"/>
  <c r="G167" i="7"/>
  <c r="G27" i="12"/>
  <c r="G29" i="12" s="1"/>
  <c r="M18" i="6"/>
  <c r="BG12" i="17"/>
  <c r="G33" i="15"/>
  <c r="CI12" i="17"/>
  <c r="CD12" i="17"/>
  <c r="BI12" i="17"/>
  <c r="AD12" i="17"/>
  <c r="G39" i="15"/>
  <c r="G25" i="15"/>
  <c r="G17" i="15"/>
  <c r="M20" i="6"/>
  <c r="F145" i="7"/>
  <c r="E21" i="6" s="1"/>
  <c r="G137" i="7"/>
  <c r="E132" i="7"/>
  <c r="H27" i="12"/>
  <c r="E12" i="6"/>
  <c r="C38" i="6"/>
  <c r="F38" i="6" s="1"/>
  <c r="C34" i="6"/>
  <c r="I27" i="12" l="1"/>
  <c r="F146" i="7"/>
  <c r="M19" i="6"/>
  <c r="BU12" i="17" s="1"/>
  <c r="G34" i="6"/>
  <c r="H12" i="17" a="1"/>
  <c r="H12" i="17" s="1"/>
  <c r="N18" i="6"/>
  <c r="CM12" i="17"/>
  <c r="CO12" i="17"/>
  <c r="BJ12" i="17"/>
  <c r="AE12" i="17"/>
  <c r="AB12" i="17"/>
  <c r="L17" i="6"/>
  <c r="L16" i="6" s="1"/>
  <c r="E9" i="6"/>
  <c r="H39" i="15"/>
  <c r="G145" i="7"/>
  <c r="E22" i="6" s="1"/>
  <c r="N20" i="6"/>
  <c r="G146" i="7" l="1"/>
  <c r="N19" i="6"/>
  <c r="DA12" i="17" s="1"/>
  <c r="CP12" i="17"/>
  <c r="BK12" i="17"/>
  <c r="BH12" i="17"/>
  <c r="M17" i="6"/>
  <c r="M16" i="6" s="1"/>
  <c r="E10" i="6"/>
  <c r="E17" i="6"/>
  <c r="CQ12" i="17" l="1"/>
  <c r="CN12" i="17"/>
  <c r="N17" i="6"/>
  <c r="N16" i="6" s="1"/>
  <c r="E16" i="6" s="1"/>
  <c r="G12" i="17" s="1"/>
  <c r="E18" i="6"/>
  <c r="E44" i="15" l="1"/>
  <c r="E4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Zartha, Natalia</author>
  </authors>
  <commentList>
    <comment ref="C20" authorId="0" shapeId="0" xr:uid="{B1EB9E11-4BD6-49A4-9B6D-2EC43522C3DD}">
      <text>
        <r>
          <rPr>
            <sz val="11"/>
            <color theme="1"/>
            <rFont val="Calibri"/>
            <family val="2"/>
            <scheme val="minor"/>
          </rPr>
          <t>Autor:
The first question is in percentage terms</t>
        </r>
      </text>
    </comment>
    <comment ref="C22" authorId="0" shapeId="0" xr:uid="{013C24B4-606C-40B2-B530-07EAC28DFB0C}">
      <text>
        <r>
          <rPr>
            <sz val="11"/>
            <color theme="1"/>
            <rFont val="Calibri"/>
            <family val="2"/>
            <scheme val="minor"/>
          </rPr>
          <t>Autor:
The second in monetary terms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Zartha Suárez</author>
  </authors>
  <commentList>
    <comment ref="C15" authorId="0" shapeId="0" xr:uid="{1838FEDB-BBFF-4EDB-A99E-3F69F72F30E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(Total cloud cost / 12 months) * 3 first months of costs</t>
        </r>
      </text>
    </comment>
    <comment ref="C24" authorId="0" shapeId="0" xr:uid="{E89F6452-EDC2-42C4-8783-C3B3D86A5CF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https://www.apmdigest.com/the-impact-of-app-performance-on-productivity</t>
        </r>
      </text>
    </comment>
    <comment ref="C32" authorId="0" shapeId="0" xr:uid="{DFB5D1E8-0041-4A90-9891-5CD5B494B6E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30 % Optimization, 40 % Modernization</t>
        </r>
      </text>
    </comment>
    <comment ref="C54" authorId="0" shapeId="0" xr:uid="{8CA9D307-62D7-4BF7-80B5-47ECCFEA24D7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Number of IT Employees of the application *Average Cost of an IT employee</t>
        </r>
      </text>
    </comment>
    <comment ref="C55" authorId="0" shapeId="0" xr:uid="{6BE8EFA2-43FD-47D8-8150-EF9A661AC37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salary cost (Monthly)* 12</t>
        </r>
      </text>
    </comment>
    <comment ref="C57" authorId="0" shapeId="0" xr:uid="{CA5E14AA-2679-4951-B4C3-10C43FB34B5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salary legacy cost (Monthly)* (1-increased productivity IT team)</t>
        </r>
      </text>
    </comment>
    <comment ref="C58" authorId="0" shapeId="0" xr:uid="{D6554CC1-7CA2-42A4-B528-39B4A63F9CD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Salary legacy cost(year) *(1- increased productivity IT team)</t>
        </r>
      </text>
    </comment>
    <comment ref="C67" authorId="0" shapeId="0" xr:uid="{A3DFE3CA-F0F3-493E-BED0-BF42BB89F0A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Please provide how much money you have planned to invest for the next infraestructure renovation?
Applies for the first year, for the second this value is subtracted from the infrastructure</t>
        </r>
      </text>
    </comment>
    <comment ref="C68" authorId="0" shapeId="0" xr:uid="{DA08F273-AEAA-4FB9-848E-C3B678F0C281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Please provide the consolidated cost of the infrastructure with depreciation per year</t>
        </r>
      </text>
    </comment>
    <comment ref="C72" authorId="0" shapeId="0" xr:uid="{E38232D3-50EF-4134-A32B-2808125CE81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Consultant</t>
        </r>
      </text>
    </comment>
    <comment ref="C80" authorId="0" shapeId="0" xr:uid="{733402F6-1A79-4DB5-966B-45F266C0747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Ofter amount per year*subscription value</t>
        </r>
      </text>
    </comment>
    <comment ref="C81" authorId="0" shapeId="0" xr:uid="{D2097E43-EAD3-461D-BB05-BCC75844EE2E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Purchase cost +  support cost</t>
        </r>
      </text>
    </comment>
    <comment ref="E81" authorId="0" shapeId="0" xr:uid="{0DEA652D-8E3C-4EEB-934D-5B8989F96F42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If the license has already been paid for, the cost is the value of the support. but if you have not paid license, the cost is the sum support + license </t>
        </r>
      </text>
    </comment>
    <comment ref="C84" authorId="0" shapeId="0" xr:uid="{BC43591A-452B-4954-9466-50569C1412E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Consultant</t>
        </r>
      </text>
    </comment>
    <comment ref="C95" authorId="0" shapeId="0" xr:uid="{529FFA75-37F6-4B7F-9EB1-5629001FA65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Number of minutes slowness *( number of dead seconds per minute/60 seconds)).</t>
        </r>
      </text>
    </comment>
    <comment ref="C96" authorId="0" shapeId="0" xr:uid="{A85A9BA5-A248-48A4-A11E-3BE15515B6F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Severe Slow Dead Time + Normal Slow Dead Time</t>
        </r>
      </text>
    </comment>
    <comment ref="C97" authorId="0" shapeId="0" xr:uid="{3C1F26CB-D345-43F9-BFDF-B097A9310A4B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((Number of people using the application * Total downtime due to slowness) / 60 * average cost per hour employee using the application) * 30</t>
        </r>
      </text>
    </comment>
    <comment ref="C98" authorId="0" shapeId="0" xr:uid="{07133117-3E61-494E-BEFB-9839327BF422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Number of people who work in the app * hourly value of the employee who works in the app * (time offline / 60 seconds) * 4</t>
        </r>
      </text>
    </comment>
    <comment ref="C99" authorId="0" shapeId="0" xr:uid="{2B678AB7-7BCB-4F2B-9467-89AFDC5B10A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Downtime cost + shut down</t>
        </r>
      </text>
    </comment>
    <comment ref="C103" authorId="0" shapeId="0" xr:uid="{3B3C1526-9F47-498F-86E1-E064851C15D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Downtime legacy cost *(1- Increased productivity IT team)</t>
        </r>
      </text>
    </comment>
    <comment ref="C104" authorId="0" shapeId="0" xr:uid="{1D32744A-6BE5-4960-8A3D-7FF60E0C964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Shut down cost * (1-Cloud availability per month)</t>
        </r>
      </text>
    </comment>
    <comment ref="C112" authorId="0" shapeId="0" xr:uid="{75EBE1E1-EA9E-4686-9444-BCA88C3118B2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Repair costs+extrac support costs</t>
        </r>
      </text>
    </comment>
    <comment ref="F113" authorId="0" shapeId="0" xr:uid="{C2E7B95F-7379-488C-BD5A-344A91FC826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infrastructure cost of the first year - On-Premise Invest *(1+Rate of inflation
)</t>
        </r>
      </text>
    </comment>
    <comment ref="F114" authorId="0" shapeId="0" xr:uid="{8CD0C9AC-E411-4005-AA01-A301FDBC0E9C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If the license has already been paid for, the cost is the value of the support. but if you have not paid license, the cost is the sum support + license </t>
        </r>
      </text>
    </comment>
    <comment ref="G114" authorId="0" shapeId="0" xr:uid="{F1AD0D2A-3C11-4F27-9BEF-0DB93523FFD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If the license has already been paid for, the cost is the value of the support. but if you have not paid license, the cost is the sum support + license </t>
        </r>
      </text>
    </comment>
    <comment ref="C115" authorId="0" shapeId="0" xr:uid="{420A9D76-B6C3-4FEE-8D65-C019132660C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Salary cost(year) + IT unexpected cost + Infrastructure cost + Licensing cost</t>
        </r>
      </text>
    </comment>
    <comment ref="C121" authorId="0" shapeId="0" xr:uid="{1A1BBB58-A4ED-4A46-98EF-28068DD280C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Business legacy Costs total + Operational legacy cost total</t>
        </r>
      </text>
    </comment>
    <comment ref="C127" authorId="0" shapeId="0" xr:uid="{8754DCF2-63A0-42E9-9582-1C6061F420B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Salary cost(year)*(1- increased productivity IT team)</t>
        </r>
      </text>
    </comment>
    <comment ref="C128" authorId="0" shapeId="0" xr:uid="{24C8A341-21CB-46E2-ABC1-AEC6D579C96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IT unexpected legacy* (1- increased productivity IT team)</t>
        </r>
      </text>
    </comment>
    <comment ref="C129" authorId="0" shapeId="0" xr:uid="{615B236A-02CC-480E-AF88-6CE35DABA16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Infrastructure Cloud Cost (Consultant)</t>
        </r>
      </text>
    </comment>
    <comment ref="C130" authorId="0" shapeId="0" xr:uid="{716EF7BC-AE73-4FB9-A945-4562E703F3DB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Licensing Cloud Cost (Consultant)</t>
        </r>
      </text>
    </comment>
    <comment ref="C134" authorId="0" shapeId="0" xr:uid="{E1FCEF2B-7C97-4938-9217-76B3317B0E0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Downtime legacy costs *(1- Increased productivity IT team)</t>
        </r>
      </text>
    </comment>
    <comment ref="C135" authorId="0" shapeId="0" xr:uid="{B16B9B40-577D-4874-AADF-5E622C509BFB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Shut down legacy costs *(1- cloud availabitly per month)</t>
        </r>
      </text>
    </comment>
    <comment ref="C136" authorId="0" shapeId="0" xr:uid="{C3B7FCCD-57C5-4231-A5F0-C9AC1E4903A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Downtime Cost (per month) + Shut down Cost</t>
        </r>
      </text>
    </comment>
    <comment ref="C137" authorId="0" shapeId="0" xr:uid="{484508C8-CD8E-4D6C-AC53-A3656576251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cloud cost total + Business cloud cost total</t>
        </r>
      </text>
    </comment>
    <comment ref="C144" authorId="0" shapeId="0" xr:uid="{5D166C64-CC42-4797-9AF8-CF8804A68847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(Operational Legacy cost- Operational Cloud Cost)/ Operational Legacy cost</t>
        </r>
      </text>
    </comment>
    <comment ref="C145" authorId="0" shapeId="0" xr:uid="{021EF912-EB14-4351-AB0F-45ED47E16C2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(Total legacy Cost – Total cloud Cost)</t>
        </r>
      </text>
    </comment>
    <comment ref="C146" authorId="0" shapeId="0" xr:uid="{671DA135-D3E0-420C-8B91-A88AF3B3C4C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(Earning from change - initial investment)/ initial investment</t>
        </r>
      </text>
    </comment>
    <comment ref="C152" authorId="0" shapeId="0" xr:uid="{B08A2C27-4D86-4143-A9A4-89F72999731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((cloud shut down cost*100)/legacy application shut down cost) per application</t>
        </r>
      </text>
    </comment>
    <comment ref="C153" authorId="0" shapeId="0" xr:uid="{AFE1CFE1-596C-460A-AC2E-D00C01360F4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shut down cost - cloud shut down cost)</t>
        </r>
      </text>
    </comment>
    <comment ref="C154" authorId="0" shapeId="0" xr:uid="{BB6DECE2-9BB1-4DA8-9054-3097D12849A7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((cloud Downtime cost*100)/legacy application Downtime cost) per application</t>
        </r>
      </text>
    </comment>
    <comment ref="C155" authorId="0" shapeId="0" xr:uid="{57C6BB37-B319-42C7-9D36-14416CDEC69C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slow down cost- cloud slow down cost)</t>
        </r>
      </text>
    </comment>
    <comment ref="C157" authorId="0" shapeId="0" xr:uid="{566B9A9B-091D-4B1B-B291-7F3663A55E4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((cloud infrastructure cost*100)/legacy application infrastructure cost) per application</t>
        </r>
      </text>
    </comment>
    <comment ref="C158" authorId="0" shapeId="0" xr:uid="{ABDBB21B-8782-474E-8F38-0061AA64F4E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infrastucture cost - cloud infrastructure cost)</t>
        </r>
      </text>
    </comment>
    <comment ref="C159" authorId="0" shapeId="0" xr:uid="{D8FE1790-6570-428E-9BA8-A2EFA7C7B52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((cloud it salary cost*100)/legacy application IT salary cost)</t>
        </r>
      </text>
    </comment>
    <comment ref="C160" authorId="0" shapeId="0" xr:uid="{F97E562A-8AEE-446D-ABAD-88759FA0049B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IT salary cost - cloud it salary cost)</t>
        </r>
      </text>
    </comment>
    <comment ref="C161" authorId="0" shapeId="0" xr:uid="{C87C263C-4FFE-4302-BEC5-9AE97AE546D9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((cloud it unexpected cost*100)/ legacy application IT unexpected cost)</t>
        </r>
      </text>
    </comment>
    <comment ref="C162" authorId="0" shapeId="0" xr:uid="{EBFDCD7B-57CE-4D5C-8C36-36EF51C97FFC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IT unexpected cost - cloud it unexpected cost)</t>
        </r>
      </text>
    </comment>
    <comment ref="C163" authorId="0" shapeId="0" xr:uid="{B576664D-CC00-42F5-A0ED-E144CF2CDDFC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((Cloud third party Cost *100)/Legacy Application third party Cost) per application</t>
        </r>
      </text>
    </comment>
    <comment ref="C164" authorId="0" shapeId="0" xr:uid="{710F6C9E-C8CA-45E3-914F-A5ED5B4FD38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(Legacy Application third party Cost - Cloud third party Cost)</t>
        </r>
      </text>
    </comment>
    <comment ref="C166" authorId="0" shapeId="0" xr:uid="{BB350F4C-A65E-442F-B75A-A584224B1A9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Total/sum(downtime_legacy_cost_1_year;shut_down_legacy_cost_1_year;it_salary_legacy_cost_1_year;unexpected_legacy_cost_1_year)</t>
        </r>
      </text>
    </comment>
    <comment ref="C168" authorId="0" shapeId="0" xr:uid="{8F559C35-D916-4CE5-8C27-1C56929B3579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 hours legacy works (mothly) * How much is the average hourly cost for the employee using the application? (USD)* Increased productivity IT team * 12 months</t>
        </r>
      </text>
    </comment>
    <comment ref="C169" authorId="0" shapeId="0" xr:uid="{D81825BA-4E35-4A1F-B575-15952564735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(it Salary legacy cost + it salary unexpected legacy cost)* Increased productivity IT team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Zartha Suárez</author>
  </authors>
  <commentList>
    <comment ref="C13" authorId="0" shapeId="0" xr:uid="{CB692A89-AD3F-43D6-9F5D-17971F90E6B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(What would be an estimate of the how many times your application gets slow in a daily basis? (Minutes)  / 60 min) * 30 days</t>
        </r>
      </text>
    </comment>
    <comment ref="F13" authorId="0" shapeId="0" xr:uid="{E9E6B4AA-F41B-4608-B2B4-225152F54803}">
      <text>
        <r>
          <rPr>
            <b/>
            <sz val="9"/>
            <color indexed="81"/>
            <rFont val="Tahoma"/>
            <family val="2"/>
          </rPr>
          <t xml:space="preserve">Natalia Zartha Suárez
</t>
        </r>
        <r>
          <rPr>
            <sz val="9"/>
            <color indexed="81"/>
            <rFont val="Tahoma"/>
            <family val="2"/>
          </rPr>
          <t>=(dead_time_due_to_severe_slowness_cloud_min_per_day*30 days)/60 min</t>
        </r>
      </text>
    </comment>
    <comment ref="C14" authorId="0" shapeId="0" xr:uid="{423D1174-5BA8-468F-B416-F1895BFA3C4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(What would be an estimate of how many times your application gets shut down in a weekly basis?  (Minutes) / 60min)  * 4 weeks</t>
        </r>
      </text>
    </comment>
    <comment ref="F14" authorId="0" shapeId="0" xr:uid="{0AAFD8B5-72D5-49EC-8B3F-1D83CB7861CC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=(total_dead_time_cloud_min_per_day*30 days)/60min
</t>
        </r>
      </text>
    </comment>
    <comment ref="C15" authorId="0" shapeId="0" xr:uid="{57DB5383-74CF-42AF-97ED-1DC6316FED5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How many are the standard working hours allowed in the country of origin of the application per day?</t>
        </r>
      </text>
    </comment>
    <comment ref="C16" authorId="0" shapeId="0" xr:uid="{23119896-D4DB-4C41-AD24-F7BACC6B5699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(people use the application * woring hours * 20 days )-  (people use the app *(slowdown hours + shutdown hours))</t>
        </r>
      </text>
    </comment>
    <comment ref="C17" authorId="0" shapeId="0" xr:uid="{DA4068E6-CAF7-4E5B-89BE-38FEB4FC25A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How many people use the application? * daily hours  * 20 days</t>
        </r>
      </text>
    </comment>
    <comment ref="C22" authorId="0" shapeId="0" xr:uid="{10776477-9C91-4596-A568-F85D7BB0164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Actual cloud productivity - Actual legacy productivity </t>
        </r>
      </text>
    </comment>
    <comment ref="C23" authorId="0" shapeId="0" xr:uid="{93DC863C-941A-4413-8011-8ACF59123412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 hours legacy works (mothly) * How much is the average hourly cost for the employee using the application? (USD)* Increased productivity IT team * 12 months</t>
        </r>
      </text>
    </comment>
    <comment ref="C24" authorId="0" shapeId="0" xr:uid="{87EFB5E9-2B13-42B0-AB20-A6C7919A850B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(it Salary legacy cost + it salary unexpected legacy cost)* Increased productivity IT team</t>
        </r>
      </text>
    </comment>
    <comment ref="C25" authorId="0" shapeId="0" xr:uid="{AE34312D-E487-4414-9732-E22306D0569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Saving money + saving money it operation</t>
        </r>
      </text>
    </comment>
    <comment ref="C26" authorId="0" shapeId="0" xr:uid="{4BD0FA52-FEAE-4345-9022-0B1BC4ADAB81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(legacy application infrastucture cost - cloud infrastructure cost)</t>
        </r>
      </text>
    </comment>
    <comment ref="C29" authorId="0" shapeId="0" xr:uid="{69C44B5A-20BF-4415-ABA6-17BA9B643D2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Total/sum(downtime_legacy_cost_1_year;shut_down_legacy_cost_1_year;it_salary_legacy_cost_1_year;unexpected_legacy_cost_1_year)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Zartha Suárez</author>
  </authors>
  <commentList>
    <comment ref="C13" authorId="0" shapeId="0" xr:uid="{428B4DF8-E541-477F-A555-8D8C25FCF0F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 Business Costs </t>
        </r>
      </text>
    </comment>
    <comment ref="C14" authorId="0" shapeId="0" xr:uid="{CCD07DE0-DFD0-42D8-BE66-D719468438F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Legacy cost</t>
        </r>
      </text>
    </comment>
    <comment ref="C15" authorId="0" shapeId="0" xr:uid="{B41C7B22-2BA3-4622-B844-3E84DDC9806E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Legacy cost + Business Costs Total</t>
        </r>
      </text>
    </comment>
    <comment ref="C16" authorId="0" shapeId="0" xr:uid="{7DFDAEFD-8AD4-4D45-B857-33E1BD3C2E8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Capital Cloud Cost</t>
        </r>
      </text>
    </comment>
    <comment ref="C17" authorId="0" shapeId="0" xr:uid="{E2FDC419-C286-48A9-BD33-77312116BCE3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Cloud Cost</t>
        </r>
      </text>
    </comment>
    <comment ref="C23" authorId="0" shapeId="0" xr:uid="{04EAEF0E-C21D-4452-897E-E3007F3C0835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Capital Cloud Cost</t>
        </r>
      </text>
    </comment>
    <comment ref="C24" authorId="0" shapeId="0" xr:uid="{13250A62-4153-444E-BB1E-449C84AD04B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Business Costs Total</t>
        </r>
      </text>
    </comment>
    <comment ref="C25" authorId="0" shapeId="0" xr:uid="{47120687-7BB6-42DE-8C6D-9141190465F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Cloud Cost</t>
        </r>
      </text>
    </comment>
    <comment ref="C26" authorId="0" shapeId="0" xr:uid="{CED789C2-8D5B-49BE-A753-4E338F2CDCE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Legacy cost</t>
        </r>
      </text>
    </comment>
    <comment ref="C30" authorId="0" shapeId="0" xr:uid="{9C6F7FE6-2E6C-463B-9CF3-E014A84E26C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Business Costs Total</t>
        </r>
      </text>
    </comment>
    <comment ref="C31" authorId="0" shapeId="0" xr:uid="{54EB5311-0750-48A9-A893-04F50A024F5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Capital Cloud Cost</t>
        </r>
      </text>
    </comment>
    <comment ref="C32" authorId="0" shapeId="0" xr:uid="{71A3DAED-9862-4FF2-8664-E37DF06B589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Legacy cost</t>
        </r>
      </text>
    </comment>
    <comment ref="C33" authorId="0" shapeId="0" xr:uid="{C595B7FD-4D57-4F71-BAEA-3D83A36ECEB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Operational Cloud Cost</t>
        </r>
      </text>
    </comment>
    <comment ref="C39" authorId="0" shapeId="0" xr:uid="{6E87D921-B512-48FC-92D0-575AC9226632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40" authorId="0" shapeId="0" xr:uid="{2C460A9A-8F7E-4B16-A201-18312B89464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initial investment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Zartha Suárez</author>
  </authors>
  <commentList>
    <comment ref="I16" authorId="0" shapeId="0" xr:uid="{C1F0A315-2908-428C-BC6F-07915D91C15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ROIn - abs(ROIn-1)</t>
        </r>
      </text>
    </comment>
    <comment ref="C17" authorId="0" shapeId="0" xr:uid="{F7748B28-09DD-401F-AD97-3356C20EC21F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(Earning from change (year 1) - initial investment)/ initial investment</t>
        </r>
      </text>
    </comment>
    <comment ref="C18" authorId="0" shapeId="0" xr:uid="{51727530-91D1-4FB3-80D6-1A74E1D613C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 (Earning from change (year 3) - initial investment)/ initial investment</t>
        </r>
      </text>
    </comment>
    <comment ref="I18" authorId="0" shapeId="0" xr:uid="{F0F0A940-8A5D-4A61-95D7-C36E380DD9B7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Total Cloud Costs</t>
        </r>
      </text>
    </comment>
    <comment ref="I19" authorId="0" shapeId="0" xr:uid="{E4CEA3F0-5C10-4875-9759-116CBECDEE9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(initial investment/ Earning from change)</t>
        </r>
      </text>
    </comment>
    <comment ref="I20" authorId="0" shapeId="0" xr:uid="{6021168C-FD9C-4DC6-81F2-BBA254357346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21" authorId="0" shapeId="0" xr:uid="{4F9C78AD-E3DC-429D-A92B-94696414EF3D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(initial investment/ Earning from change (2 year))</t>
        </r>
      </text>
    </comment>
    <comment ref="C22" authorId="0" shapeId="0" xr:uid="{084BE974-CD4F-4C8E-9109-FD685F8E6A97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(initial investment/ Earning from change (3 year)
)</t>
        </r>
      </text>
    </comment>
    <comment ref="C23" authorId="0" shapeId="0" xr:uid="{28FD8F6F-31A1-4C64-BD89-AB9F2C2C1D58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(Sum of Total legacy Cost – Sum of Total Cloud Cost)</t>
        </r>
      </text>
    </comment>
    <comment ref="C34" authorId="0" shapeId="0" xr:uid="{D7838C0F-7BD9-4DD4-B44F-5BB12AE60BFA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initial_investment</t>
        </r>
      </text>
    </comment>
    <comment ref="E34" authorId="0" shapeId="0" xr:uid="{B9E20105-0331-4111-A008-E0470ABD8AD0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(total_legacy_cost_1_year/12)*number_of_months_of_implementation</t>
        </r>
      </text>
    </comment>
    <comment ref="C38" authorId="0" shapeId="0" xr:uid="{3DC0C0D5-A058-46C5-AA4C-8420E2BD8AC4}">
      <text>
        <r>
          <rPr>
            <b/>
            <sz val="9"/>
            <color indexed="81"/>
            <rFont val="Tahoma"/>
            <family val="2"/>
          </rPr>
          <t>Natalia Zartha Suárez:</t>
        </r>
        <r>
          <rPr>
            <sz val="9"/>
            <color indexed="81"/>
            <rFont val="Tahoma"/>
            <family val="2"/>
          </rPr>
          <t xml:space="preserve">
initial_investment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<sst xmlns="http://schemas.openxmlformats.org/spreadsheetml/2006/main" count="624" uniqueCount="331">
  <si>
    <t>Advisory Services</t>
  </si>
  <si>
    <t>Información General</t>
  </si>
  <si>
    <t>En esta sección responderá preguntas asociadas con los datos generales de su organización</t>
  </si>
  <si>
    <t>¿Nombre de la empresa?</t>
  </si>
  <si>
    <t>Dirección de correo electrónico</t>
  </si>
  <si>
    <t>¿Cuántas aplicaciones desea analizar?</t>
  </si>
  <si>
    <t>Nombre(s) de la(s) aplicación(es) en el orden en que desea que sean analizadas</t>
  </si>
  <si>
    <t xml:space="preserve">  </t>
  </si>
  <si>
    <t>¿Cuáles cree que son las principales razones por las que sus clientes presentan quejas o reclamos?</t>
  </si>
  <si>
    <t>Performance</t>
  </si>
  <si>
    <t>Data Corruption</t>
  </si>
  <si>
    <t xml:space="preserve">Secutiry </t>
  </si>
  <si>
    <t>Outages-Connections dropping</t>
  </si>
  <si>
    <t>Others</t>
  </si>
  <si>
    <t>Costo Operacional</t>
  </si>
  <si>
    <t>Costo Salarial</t>
  </si>
  <si>
    <t>En esta sección responderá preguntas asociadas con el costo salarial relacionado con la aplicación que desea modernizar</t>
  </si>
  <si>
    <t>Nombre de la aplicación</t>
  </si>
  <si>
    <t>¿En promedio, cuántos empleados de TI tiene para esta aplicación?</t>
  </si>
  <si>
    <t>¿Cuántas horas de evolución de la aplicación invierte en esta aplicación por año?</t>
  </si>
  <si>
    <t>¿En promedio, cuánto es el costo de un empleado de TI? (Mensual)</t>
  </si>
  <si>
    <t>¿Cuánto es el costo promedio por hora del empleado que usa la aplicación? (USD)</t>
  </si>
  <si>
    <t>¿Cuántas personas usan la aplicación de forma recurrente?</t>
  </si>
  <si>
    <t>Costo Inesperado de TI</t>
  </si>
  <si>
    <t>En esta sección responderá preguntas relacionadas con los costos de reparación y mantenimiento extra de la aplicación a modernizar</t>
  </si>
  <si>
    <t>¿Cuánto es su costo anual de reparación?</t>
  </si>
  <si>
    <t>¿Cuánto es su costo anual de soporte extra?</t>
  </si>
  <si>
    <t>Costo de Infraestructura</t>
  </si>
  <si>
    <t>En esta sección responderá preguntas sobre los costos de infraestructura de la aplicación a modernizar</t>
  </si>
  <si>
    <t>¿Qué tipo de infraestructura usa la aplicación que desea modernizar?</t>
  </si>
  <si>
    <t>En las instalaciones (On Premise)</t>
  </si>
  <si>
    <t>Centro de datos de terceros</t>
  </si>
  <si>
    <t>Infraestructura como servicio</t>
  </si>
  <si>
    <t>En las instalaciones (On-Premise)</t>
  </si>
  <si>
    <t>Por favor proporcione la fecha en que se compraron estos servidores (dd/mm/aaaa)</t>
  </si>
  <si>
    <t>Por favor proporcione la marca y serie de los servidores que usa actualmente</t>
  </si>
  <si>
    <t>Por favor proporcione la fecha estimada para la renovación de la infraestructura (dd/mm/aaaa)</t>
  </si>
  <si>
    <t>Por favor proporcione cuánto dinero ha planeado invertir para la próxima renovación de infraestructura</t>
  </si>
  <si>
    <t>Por favor proporcione el costo consolidado de la infraestructura con depreciación por año</t>
  </si>
  <si>
    <t>Por favor proporcione la tarifa anual de esta infraestructura</t>
  </si>
  <si>
    <t>IaaS (Infraestructura como servicio)</t>
  </si>
  <si>
    <t>Costo de Licencias</t>
  </si>
  <si>
    <t>En esta sección responderá preguntas relacionadas con el costo de licenciamiento de la aplicación que desea modernizar</t>
  </si>
  <si>
    <t>¿Qué tipo de licencia usa la aplicación que desea modernizar?</t>
  </si>
  <si>
    <t>Suscripción</t>
  </si>
  <si>
    <t>Licencia propia</t>
  </si>
  <si>
    <t>¿Con qué frecuencia paga este monto por año?</t>
  </si>
  <si>
    <t>¿Cuánto es el valor de su suscripción?</t>
  </si>
  <si>
    <t>¿Cuándo expirará la licencia? (dd/mm/aaaa)</t>
  </si>
  <si>
    <t>Por favor responda cuándo será la próxima compra de licencia (dd/mm/aaaa)</t>
  </si>
  <si>
    <t>Por favor responda cuánto fue el costo de compra</t>
  </si>
  <si>
    <t>¿Cuánto es el costo de soporte para su licencia propia?</t>
  </si>
  <si>
    <t>¿Con qué frecuencia paga el costo de soporte de su licencia propia? (dd/mm/aaaa)</t>
  </si>
  <si>
    <t>Costo de Negocio</t>
  </si>
  <si>
    <t>Aplicación lenta y Apagado</t>
  </si>
  <si>
    <t>En esta sección responderá preguntas relacionadas con el costo de rendimiento de la aplicación que desea modernizar</t>
  </si>
  <si>
    <t>¿Cuál sería una estimación de cuántas veces su aplicación se pone lenta diariamente? (Minutos)</t>
  </si>
  <si>
    <t>¿Cuál es la tasa de inflación manejada en el país de origen de la aplicación?</t>
  </si>
  <si>
    <t>¿Cuál sería una estimación de cuántas veces su aplicación se apaga semanalmente? (Minutos)</t>
  </si>
  <si>
    <t>¿Cuál es la tasa actual de retorno de inversión de la empresa? [%] (opcional)</t>
  </si>
  <si>
    <t>¿Cuál es el retorno de inversión actual de la empresa? [dinero] (opcional)</t>
  </si>
  <si>
    <t>¿Cuántas son las horas de trabajo estándar permitidas en el país de origen de la aplicación por día?</t>
  </si>
  <si>
    <t>Analysis</t>
  </si>
  <si>
    <t>Application name</t>
  </si>
  <si>
    <t>Current day (dd/mm/yyyy)</t>
  </si>
  <si>
    <t>Rate of inflation</t>
  </si>
  <si>
    <t>Days of the month</t>
  </si>
  <si>
    <t>Months of year</t>
  </si>
  <si>
    <t>Initial Investment</t>
  </si>
  <si>
    <t>(Coexist) Number of Months to have both environment (On-Premise and Cloud)</t>
  </si>
  <si>
    <t>Consultant - Information Costs</t>
  </si>
  <si>
    <t>Legacy Information</t>
  </si>
  <si>
    <t>Number of dead seconds per minute (Shutdown) [seconds per day]</t>
  </si>
  <si>
    <t>Dead time due to normal slowness (Slowdown) [min per day]</t>
  </si>
  <si>
    <t>Cloud Cost</t>
  </si>
  <si>
    <t>IT Operational productivity</t>
  </si>
  <si>
    <t xml:space="preserve">Number of months of implementation </t>
  </si>
  <si>
    <t>Infrastructure Cloud Cost (1st year)</t>
  </si>
  <si>
    <t>Licensing Cloud Cost (1st year)</t>
  </si>
  <si>
    <t>Cloud availability [monthly]</t>
  </si>
  <si>
    <t>Dead time due to severe slowness (Slowdown) [min per day]</t>
  </si>
  <si>
    <t>Total Dead Time (Shutdown)  [min per day]</t>
  </si>
  <si>
    <t>It Salary Cost</t>
  </si>
  <si>
    <t xml:space="preserve">IT salary </t>
  </si>
  <si>
    <t>Formula</t>
  </si>
  <si>
    <t>Annual costs [$]</t>
  </si>
  <si>
    <t>Legacy</t>
  </si>
  <si>
    <t>IT salary cost (monthly)</t>
  </si>
  <si>
    <t>Number of IT Employees of the application *Average Cost of an IT employee</t>
  </si>
  <si>
    <t>IT Salary cost(year)</t>
  </si>
  <si>
    <t>IT salary cost (Monthly)* 12</t>
  </si>
  <si>
    <t>Cloud</t>
  </si>
  <si>
    <t>IT salary cost cloud (monthly)</t>
  </si>
  <si>
    <t>IT salary legacy cost (Monthly)* (1-increased productivity IT team)</t>
  </si>
  <si>
    <t>IT salary cost cloud (year)</t>
  </si>
  <si>
    <t>IT Salary legacy cost(year) *(1- increased productivity IT team)</t>
  </si>
  <si>
    <t>Infrastructure Costs</t>
  </si>
  <si>
    <t>Infrastructure</t>
  </si>
  <si>
    <t>IaaS</t>
  </si>
  <si>
    <t>On-Premise- Invest</t>
  </si>
  <si>
    <t>Please provide how much money you have planned to invest for the next infraestructure renovation?</t>
  </si>
  <si>
    <t>On-Premise- operation</t>
  </si>
  <si>
    <t>Please provide the consolidated cost of the infrastructure with depreciation per year</t>
  </si>
  <si>
    <t>Thrid Party</t>
  </si>
  <si>
    <t>Total Legacy Infrastruture</t>
  </si>
  <si>
    <t>Infrastructure cost</t>
  </si>
  <si>
    <t>Consultant</t>
  </si>
  <si>
    <t>Licensing Costs</t>
  </si>
  <si>
    <t xml:space="preserve">Licensing </t>
  </si>
  <si>
    <t>2nd year</t>
  </si>
  <si>
    <t>3rd year</t>
  </si>
  <si>
    <t>Subscription</t>
  </si>
  <si>
    <t>Ofter amount per year*subscription value</t>
  </si>
  <si>
    <t>Own license</t>
  </si>
  <si>
    <t>Purchase cost +  support cost</t>
  </si>
  <si>
    <t>Total licensing legacy costs</t>
  </si>
  <si>
    <t xml:space="preserve">Licensing cost </t>
  </si>
  <si>
    <t>Business Costs</t>
  </si>
  <si>
    <t>Summary</t>
  </si>
  <si>
    <t>Number of minutes slowness = What would be an estimate of the how many times your application gets slow in a daily basis? (Minutes)</t>
  </si>
  <si>
    <t>Normal Slow Dead Time =  What would be an estimate of the how many times your application gets slow in a daily basis? (Minutes)</t>
  </si>
  <si>
    <t>Slow &amp; Shut down application costs</t>
  </si>
  <si>
    <t>Monthly Costs [$]</t>
  </si>
  <si>
    <t xml:space="preserve">Dead time due to severe slowness (min per day) </t>
  </si>
  <si>
    <t>Number of minutes slowness *( number of dead seconds per minute/60 seconds)).</t>
  </si>
  <si>
    <t xml:space="preserve">Total Dead Time  (min per day) </t>
  </si>
  <si>
    <t>Severe Slow Dead Time + Normal Slow Dead Time</t>
  </si>
  <si>
    <t>Downtime (Slow down) Cost (per month)</t>
  </si>
  <si>
    <t>((Number of people using the application * Total downtime due to slowness) / 60 * average cost per hour employee using the application) * 30</t>
  </si>
  <si>
    <t>Shut down Cost (per month)</t>
  </si>
  <si>
    <t>Number of people who work in the app * hourly value of the employee who works in the app * (time offline / 60 seconds) * 4</t>
  </si>
  <si>
    <t>Business Legacy Costs Total (Capex)</t>
  </si>
  <si>
    <t>Downtime cost + shut down</t>
  </si>
  <si>
    <t>Downtime legacy cost *(1- Increased productivity IT team)</t>
  </si>
  <si>
    <t>Shut down cost * (1-Cloud availability per month)</t>
  </si>
  <si>
    <t>Business Cloud Costs Total (Capex)</t>
  </si>
  <si>
    <t>Summary Legacy Costs</t>
  </si>
  <si>
    <t>Costs\Years</t>
  </si>
  <si>
    <t>1 [$]</t>
  </si>
  <si>
    <t>2 [$]</t>
  </si>
  <si>
    <t>3 [$]</t>
  </si>
  <si>
    <t>IT salary cost</t>
  </si>
  <si>
    <t>IT unexpected cost</t>
  </si>
  <si>
    <t>Repair costs+extrac support costs</t>
  </si>
  <si>
    <t xml:space="preserve">Infrastructure costs </t>
  </si>
  <si>
    <t xml:space="preserve">Licensing costs </t>
  </si>
  <si>
    <t>Operational Legacy Cost Total (Opex)</t>
  </si>
  <si>
    <t>IT Salary cost(year) + IT unexpected cost + Infrastructure cost + Licensing cost</t>
  </si>
  <si>
    <t>NPV (Net Present Value)</t>
  </si>
  <si>
    <t>Downtime Cost (per year)</t>
  </si>
  <si>
    <t>Shut down Cost  (per year)</t>
  </si>
  <si>
    <t>Business Costs Legacy Total (Capex)</t>
  </si>
  <si>
    <t>Total Legacy Costs</t>
  </si>
  <si>
    <t>Business legacy Costs total + Operational legacy cost total</t>
  </si>
  <si>
    <t>Summary Cloud Costs</t>
  </si>
  <si>
    <t>IT Salary cost(year)*(1- increased productivity IT team)</t>
  </si>
  <si>
    <t>IT unexpected legacy* (1- increased productivity IT team)</t>
  </si>
  <si>
    <t>Infrastructure Cloud Cost (Consultant)</t>
  </si>
  <si>
    <t>Licensing costs</t>
  </si>
  <si>
    <t>Licensing Cloud Cost (Consultant)</t>
  </si>
  <si>
    <t>Operational Cloud Cost (Opex)</t>
  </si>
  <si>
    <t>Business Costs cloud</t>
  </si>
  <si>
    <t>Downtime legacy costs *(1- Increased productivity IT team)</t>
  </si>
  <si>
    <t>Shut down Cost (per year)</t>
  </si>
  <si>
    <t>Shut down legacy costs *(1- cloud availabitly per month)</t>
  </si>
  <si>
    <t>Downtime Cost (per month) + Shut down Cost</t>
  </si>
  <si>
    <t>Total Cloud Costs</t>
  </si>
  <si>
    <t>Operational cloud cost total + Business cloud cost total</t>
  </si>
  <si>
    <t>Saving Costs</t>
  </si>
  <si>
    <t xml:space="preserve">  Savings\Years</t>
  </si>
  <si>
    <t>1</t>
  </si>
  <si>
    <t>2</t>
  </si>
  <si>
    <t>3</t>
  </si>
  <si>
    <t>Savings in operational expenditures [%]</t>
  </si>
  <si>
    <t xml:space="preserve"> (Operational Legacy cost- Operational Cloud Cost)/ Operational Legacy cost</t>
  </si>
  <si>
    <t>Earning from change [$]</t>
  </si>
  <si>
    <t xml:space="preserve"> (Total legacy Cost – Total cloud Cost)</t>
  </si>
  <si>
    <t>ROI [%]</t>
  </si>
  <si>
    <t xml:space="preserve"> (Earning from change - initial investment)/ initial investment</t>
  </si>
  <si>
    <t>Saving Costs\Years</t>
  </si>
  <si>
    <t>Modernize with optimal benefits - Business Costs</t>
  </si>
  <si>
    <t>Saving in application shut down cost [%]</t>
  </si>
  <si>
    <t>((cloud shut down cost*100)/legacy application shut down cost) per application</t>
  </si>
  <si>
    <t>Saving in application shut down cost [$]</t>
  </si>
  <si>
    <t>(legacy application shut down cost - cloud shut down cost)</t>
  </si>
  <si>
    <t>Saving in application slow down cost [%]</t>
  </si>
  <si>
    <t>((cloud Downtime cost*100)/legacy application Downtime cost) per application</t>
  </si>
  <si>
    <t>Saving in application slow down cost [$]</t>
  </si>
  <si>
    <t>(Legacy application slow down cost- cloud slow down cost)</t>
  </si>
  <si>
    <t>Modernize with optimal benefits - Operational costs</t>
  </si>
  <si>
    <t>Saving in infrastructure cost [%]</t>
  </si>
  <si>
    <t>((cloud infrastructure cost*100)/legacy application infrastructure cost) per application</t>
  </si>
  <si>
    <t>Saving in infrastructure cost [$]</t>
  </si>
  <si>
    <t>(legacy application infrastucture cost - cloud infrastructure cost)</t>
  </si>
  <si>
    <t>Saving in IT Salary cost [%]</t>
  </si>
  <si>
    <t>((cloud it salary cost*100)/legacy application IT salary cost)</t>
  </si>
  <si>
    <t>Saving in IT salary cost [$]</t>
  </si>
  <si>
    <t>(legacy application IT salary cost - cloud it salary cost)</t>
  </si>
  <si>
    <t>Saving in IT unexpected cost [%]</t>
  </si>
  <si>
    <t>((cloud it unexpected cost*100)/ legacy application IT unexpected cost)</t>
  </si>
  <si>
    <t>Saving in IT unexpected cost [$]</t>
  </si>
  <si>
    <t>(legacy application IT unexpected cost - cloud it unexpected cost)</t>
  </si>
  <si>
    <t>Saving in Licensing third party Cost [%]</t>
  </si>
  <si>
    <t>Saving in Licensing third party Cost [$]</t>
  </si>
  <si>
    <t>Productivity</t>
  </si>
  <si>
    <t>Saving money due to improvements in productivity IT team [%]</t>
  </si>
  <si>
    <r>
      <t>Total savings due to improvements in productivity</t>
    </r>
    <r>
      <rPr>
        <sz val="12"/>
        <color theme="1"/>
        <rFont val="Montserrat"/>
        <family val="3"/>
      </rPr>
      <t xml:space="preserve"> </t>
    </r>
    <r>
      <rPr>
        <sz val="12"/>
        <color theme="1"/>
        <rFont val="Calibri"/>
        <family val="2"/>
        <scheme val="minor"/>
      </rPr>
      <t>[$]</t>
    </r>
  </si>
  <si>
    <t>Saving money related to the show down and slow down (per year) [$]</t>
  </si>
  <si>
    <t>Saving money in it operation (Salary cost and unexpected cost) [$]</t>
  </si>
  <si>
    <t>Increased productivity IT team</t>
  </si>
  <si>
    <t>Productivity Costs</t>
  </si>
  <si>
    <t>Item</t>
  </si>
  <si>
    <t>How many people use the application? [users]</t>
  </si>
  <si>
    <t>Slowdown hours [monthly]</t>
  </si>
  <si>
    <t>(What would be an estimate of the how many times your application gets slow in a daily basis? (Minutes)  / 60 min) * 30 days</t>
  </si>
  <si>
    <t>Shutdown hours [monthly]</t>
  </si>
  <si>
    <t>(What would be an estimate of how many times your application gets shut down in a weekly basis?  (Minutes) / 60min)  * 4 weeks</t>
  </si>
  <si>
    <t>How many are the standard working hours allowed in the country of origin of the application per day? [h]</t>
  </si>
  <si>
    <t>How many are the standard working hours allowed in the country of origin of the application per day?</t>
  </si>
  <si>
    <t>Actual productivity  IT team whom use the application [%]</t>
  </si>
  <si>
    <t>(people use the application? * Cantidad horas diaras que trabajan las personas * 20 days )-  (people use the app *(slowdown hours + shutdown hours))</t>
  </si>
  <si>
    <t>Total hours works [monthtly hours]</t>
  </si>
  <si>
    <t>How many people use the application? * daily hours  * 20 days</t>
  </si>
  <si>
    <t>Item\Years</t>
  </si>
  <si>
    <t>[%]</t>
  </si>
  <si>
    <t>Increased productivity [%]</t>
  </si>
  <si>
    <t>Increased productivity IT team [%]</t>
  </si>
  <si>
    <t xml:space="preserve">Actual cloud productivity - Actual legacy productivity </t>
  </si>
  <si>
    <t>Total hours legacy works (mothly) * How much is the average hourly cost for the employee using the application? (USD)* Increased productivity IT team * 12 months</t>
  </si>
  <si>
    <t>(it Salary legacy cost + it salary unexpected legacy cost)* Increased productivity IT team</t>
  </si>
  <si>
    <t>Total customer Savings money through productivity improvements [$]</t>
  </si>
  <si>
    <t>Saving money + saving money it operation</t>
  </si>
  <si>
    <t>Total Saving infrastructure money [$]</t>
  </si>
  <si>
    <t>Total [$]</t>
  </si>
  <si>
    <t xml:space="preserve">Saving money due to improvements in productivity IT team </t>
  </si>
  <si>
    <t>Total/sum(downtime_legacy_cost_1_year;shut_down_legacy_cost_1_year;it_salary_legacy_cost_1_year;unexpected_legacy_cost_1_year)</t>
  </si>
  <si>
    <t>To Graph</t>
  </si>
  <si>
    <t>Costs (n) Year Legacy/Cloud</t>
  </si>
  <si>
    <t>Costs (USD)\Year</t>
  </si>
  <si>
    <t>2  [$]</t>
  </si>
  <si>
    <t>3  [$]</t>
  </si>
  <si>
    <t>Capex Legacy</t>
  </si>
  <si>
    <t>Business Costs Total</t>
  </si>
  <si>
    <t>Opex Legacy</t>
  </si>
  <si>
    <t>Operational Legacy cost</t>
  </si>
  <si>
    <t>Total Legacy</t>
  </si>
  <si>
    <t>Operational Legacy cost + Business Costs Total</t>
  </si>
  <si>
    <t>Capex Cloud</t>
  </si>
  <si>
    <t>Capital Cloud Cost</t>
  </si>
  <si>
    <t>Opex Cloud</t>
  </si>
  <si>
    <t>Operational Cloud Cost</t>
  </si>
  <si>
    <t>Total Cloud</t>
  </si>
  <si>
    <t>Costs by year Legacy/Cloud</t>
  </si>
  <si>
    <t>1  [$]</t>
  </si>
  <si>
    <t xml:space="preserve">High Level Business Case TCO Analysis </t>
  </si>
  <si>
    <t>0</t>
  </si>
  <si>
    <t>TCO/ year reduction($)</t>
  </si>
  <si>
    <t>(Sum of Total legacy Cost – Sum of Total Cloud Cost)</t>
  </si>
  <si>
    <t>TCO/ Keep on premise</t>
  </si>
  <si>
    <t>Investment</t>
  </si>
  <si>
    <t>x</t>
  </si>
  <si>
    <t>Payback</t>
  </si>
  <si>
    <t>Dashboard</t>
  </si>
  <si>
    <t>Business Case Summary</t>
  </si>
  <si>
    <t>Saving total in operating expenditures</t>
  </si>
  <si>
    <t>ROI in 2 years</t>
  </si>
  <si>
    <t>Increase productivity (1 year)</t>
  </si>
  <si>
    <t>Summary - TCO Reduction per year</t>
  </si>
  <si>
    <t>Investment (P1)</t>
  </si>
  <si>
    <t>Post Mygration Analysis (Per Application)</t>
  </si>
  <si>
    <t>Value</t>
  </si>
  <si>
    <t xml:space="preserve"> Item\Years</t>
  </si>
  <si>
    <t>Payback (year) (&gt;0)</t>
  </si>
  <si>
    <t>Payback (&gt;0) (years)</t>
  </si>
  <si>
    <t>ROIn - abs(ROIn-1)</t>
  </si>
  <si>
    <t>ROI 1 years</t>
  </si>
  <si>
    <t xml:space="preserve"> (Earning from change (year 1) - initial investment)/ initial investment</t>
  </si>
  <si>
    <t>ROI</t>
  </si>
  <si>
    <t>ROI 3 years</t>
  </si>
  <si>
    <t xml:space="preserve"> (Earning from change (year 3) - initial investment)/ initial investment</t>
  </si>
  <si>
    <t>Cloud Costs</t>
  </si>
  <si>
    <t>TCO/ year reduction(%)</t>
  </si>
  <si>
    <t>(initial investment/ Earning from change)</t>
  </si>
  <si>
    <t>TCO/Year 1 reduction (%)</t>
  </si>
  <si>
    <t xml:space="preserve">   </t>
  </si>
  <si>
    <t>TCO/Year 2 reduction (%)</t>
  </si>
  <si>
    <t>TCO/Total year reduction (%) (3 year)</t>
  </si>
  <si>
    <t>REF https://es.extendoffice.com/documents/excel/2344-excel-add-vertical-line-to-bar-chart.html</t>
  </si>
  <si>
    <t>TCO/Year reduction($) ( 1 year)</t>
  </si>
  <si>
    <t xml:space="preserve">Implementation Costs </t>
  </si>
  <si>
    <t>For clients that need to be provided with Cloud Licensing</t>
  </si>
  <si>
    <t>Modernization Development Cost</t>
  </si>
  <si>
    <t>Cost of change (Legacy cost while implementing cloud)</t>
  </si>
  <si>
    <t>Cloud Licensing Costs (3 years)</t>
  </si>
  <si>
    <t>Total Costs</t>
  </si>
  <si>
    <t>For clients that have Enterprise Agreements with Cloud providers</t>
  </si>
  <si>
    <t>Application consolidated information</t>
  </si>
  <si>
    <t>General information</t>
  </si>
  <si>
    <t>1st year</t>
  </si>
  <si>
    <t>3 rd year</t>
  </si>
  <si>
    <t>Application Name</t>
  </si>
  <si>
    <t>Initial investment [$]</t>
  </si>
  <si>
    <t>IT Operational  productivity</t>
  </si>
  <si>
    <t>Number of implementation months of all applications</t>
  </si>
  <si>
    <t>IT salary legacy cost [$]</t>
  </si>
  <si>
    <t>IT unexpected legacy cost[$]</t>
  </si>
  <si>
    <t>Infrastructure legacy cost [$]</t>
  </si>
  <si>
    <t>licensing leagcy cost [$]</t>
  </si>
  <si>
    <t>Operational legacy cost  [$]</t>
  </si>
  <si>
    <t>Downtime legacy cost [$]</t>
  </si>
  <si>
    <t>Shut down legacy costs [$]</t>
  </si>
  <si>
    <t>business legacy cost [$]</t>
  </si>
  <si>
    <t>Total legacy cost [$]</t>
  </si>
  <si>
    <t>IT cloud salary cost  per year [$]</t>
  </si>
  <si>
    <t>IT cloud unexpected cost  per year [$]</t>
  </si>
  <si>
    <t>Infrastructure cloud cost [$]</t>
  </si>
  <si>
    <t>licensing cloud cost [$]</t>
  </si>
  <si>
    <t>Operational cloud cost [$]</t>
  </si>
  <si>
    <t>Downtime cloud cost [$]</t>
  </si>
  <si>
    <t>Shut down cloud costs [$]</t>
  </si>
  <si>
    <t>business cloud cost [$]</t>
  </si>
  <si>
    <t>Total cloud cost [$]</t>
  </si>
  <si>
    <t>TCO reduction per year [%]</t>
  </si>
  <si>
    <t>Savings in operational expenditures  [%]</t>
  </si>
  <si>
    <t>Earning from change  [$]</t>
  </si>
  <si>
    <t>ROI  [%]</t>
  </si>
  <si>
    <t>Productivity [%]</t>
  </si>
  <si>
    <t>Saving in IT salary cost [%]</t>
  </si>
  <si>
    <t>Total savings due to improvements in productivity [$]</t>
  </si>
  <si>
    <t>TCO reduction [%]</t>
  </si>
  <si>
    <t>1s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</si>
</sst>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$&quot;\ #,##0;[Red]\-&quot;$&quot;\ #,##0"/>
    <numFmt numFmtId="165" formatCode="&quot;$&quot;\ #,##0.00;\-&quot;$&quot;\ #,##0.00"/>
    <numFmt numFmtId="166" formatCode="&quot;$&quot;\ #,##0.00;[Red]\-&quot;$&quot;\ #,##0.00"/>
    <numFmt numFmtId="167" formatCode="_-&quot;$&quot;\ * #,##0.00_-;\-&quot;$&quot;\ * #,##0.00_-;_-&quot;$&quot;\ * &quot;-&quot;??_-;_-@_-"/>
    <numFmt numFmtId="168" formatCode="#,##0.00_ ;\-#,##0.00\ "/>
    <numFmt numFmtId="169" formatCode="_-&quot;$&quot;\ * #,##0_-;\-&quot;$&quot;\ * #,##0_-;_-&quot;$&quot;\ * &quot;-&quot;??_-;_-@_-"/>
    <numFmt numFmtId="170" formatCode="#,##0_ ;\-#,##0\ "/>
    <numFmt numFmtId="171" formatCode="#,##0.00_ ;[Red]\-#,##0.00\ "/>
    <numFmt numFmtId="172" formatCode="0.0%"/>
    <numFmt numFmtId="173" formatCode="0.000"/>
    <numFmt numFmtId="174" formatCode="#,##0.000_ ;\-#,##0.000\ "/>
    <numFmt numFmtId="175" formatCode="0.0000%"/>
  </numFmts>
  <fonts count="50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4"/>
      <color rgb="FFB9193B"/>
      <name val="Calibri"/>
      <family val="2"/>
      <scheme val="minor"/>
    </font>
    <font>
      <b/>
      <sz val="12"/>
      <color rgb="FFB9193B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rgb="FFB9193B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2"/>
      <color theme="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2"/>
      <color theme="2" tint="-0.89999084444715716"/>
      <name val="Calibri"/>
      <family val="2"/>
      <scheme val="minor"/>
    </font>
    <font>
      <b/>
      <i/>
      <sz val="12"/>
      <color rgb="FFB9193B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9"/>
      <color theme="2" tint="-0.89999084444715716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Montserrat"/>
      <family val="3"/>
    </font>
    <font>
      <b/>
      <sz val="1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9193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  <fill>
      <patternFill patternType="solid">
        <fgColor rgb="FFB9193B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</fills>
  <borders count="40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theme="2" tint="-0.74996185186315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B9193B"/>
      </left>
      <right style="thin">
        <color rgb="FFB9193B"/>
      </right>
      <top/>
      <bottom/>
      <diagonal/>
    </border>
    <border>
      <left style="thin">
        <color rgb="FFB9193B"/>
      </left>
      <right/>
      <top/>
      <bottom/>
      <diagonal/>
    </border>
    <border>
      <left/>
      <right/>
      <top/>
      <bottom style="thin">
        <color theme="6" tint="-0.2499465926084170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B9193B"/>
      </left>
      <right style="thin">
        <color theme="4" tint="0.39994506668294322"/>
      </right>
      <top/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 style="thin">
        <color theme="4" tint="0.39991454817346722"/>
      </right>
      <top/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4506668294322"/>
      </top>
      <bottom style="thin">
        <color theme="4" tint="0.39991454817346722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4"/>
      </top>
      <bottom style="thin">
        <color theme="4" tint="0.39994506668294322"/>
      </bottom>
      <diagonal/>
    </border>
    <border>
      <left/>
      <right/>
      <top/>
      <bottom style="thin">
        <color theme="2" tint="-0.8999603259376811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8"/>
      </right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theme="2" tint="-0.749961851863155"/>
      </top>
      <bottom/>
      <diagonal/>
    </border>
  </borders>
  <cellStyleXfs count="4">
    <xf numFmtId="0" fontId="0" fillId="0" borderId="0"/>
    <xf numFmtId="167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0" fillId="6" borderId="0" applyNumberFormat="0" applyBorder="0" applyAlignment="0" applyProtection="0"/>
  </cellStyleXfs>
  <cellXfs count="297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/>
    <xf numFmtId="9" fontId="3" fillId="0" borderId="0" xfId="0" applyNumberFormat="1" applyFont="1"/>
    <xf numFmtId="0" fontId="9" fillId="0" borderId="5" xfId="0" applyFont="1" applyBorder="1" applyAlignment="1">
      <alignment wrapText="1"/>
    </xf>
    <xf numFmtId="0" fontId="3" fillId="0" borderId="4" xfId="0" applyFont="1" applyBorder="1"/>
    <xf numFmtId="0" fontId="9" fillId="0" borderId="3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15" fillId="0" borderId="5" xfId="0" applyFont="1" applyBorder="1"/>
    <xf numFmtId="0" fontId="3" fillId="0" borderId="7" xfId="0" applyFont="1" applyBorder="1"/>
    <xf numFmtId="167" fontId="0" fillId="0" borderId="7" xfId="1" applyFont="1" applyBorder="1"/>
    <xf numFmtId="0" fontId="1" fillId="0" borderId="7" xfId="0" applyFont="1" applyBorder="1"/>
    <xf numFmtId="0" fontId="4" fillId="4" borderId="1" xfId="0" applyFont="1" applyFill="1" applyBorder="1" applyAlignment="1">
      <alignment horizontal="left"/>
    </xf>
    <xf numFmtId="0" fontId="0" fillId="2" borderId="0" xfId="0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3" fillId="2" borderId="0" xfId="0" applyFont="1" applyFill="1"/>
    <xf numFmtId="0" fontId="9" fillId="0" borderId="12" xfId="0" applyFont="1" applyBorder="1" applyAlignment="1">
      <alignment wrapText="1"/>
    </xf>
    <xf numFmtId="167" fontId="3" fillId="0" borderId="0" xfId="1" applyFont="1"/>
    <xf numFmtId="167" fontId="3" fillId="0" borderId="0" xfId="0" applyNumberFormat="1" applyFont="1"/>
    <xf numFmtId="167" fontId="3" fillId="2" borderId="0" xfId="0" applyNumberFormat="1" applyFont="1" applyFill="1" applyAlignment="1">
      <alignment wrapText="1"/>
    </xf>
    <xf numFmtId="164" fontId="3" fillId="2" borderId="0" xfId="0" applyNumberFormat="1" applyFont="1" applyFill="1"/>
    <xf numFmtId="167" fontId="3" fillId="2" borderId="0" xfId="0" applyNumberFormat="1" applyFont="1" applyFill="1"/>
    <xf numFmtId="2" fontId="3" fillId="0" borderId="0" xfId="2" applyNumberFormat="1" applyFont="1"/>
    <xf numFmtId="2" fontId="3" fillId="0" borderId="0" xfId="0" applyNumberFormat="1" applyFont="1"/>
    <xf numFmtId="0" fontId="9" fillId="2" borderId="5" xfId="0" applyFont="1" applyFill="1" applyBorder="1" applyAlignment="1">
      <alignment wrapText="1"/>
    </xf>
    <xf numFmtId="0" fontId="3" fillId="2" borderId="10" xfId="0" applyFont="1" applyFill="1" applyBorder="1"/>
    <xf numFmtId="167" fontId="3" fillId="2" borderId="10" xfId="1" applyFont="1" applyFill="1" applyBorder="1"/>
    <xf numFmtId="14" fontId="3" fillId="2" borderId="10" xfId="0" applyNumberFormat="1" applyFont="1" applyFill="1" applyBorder="1"/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167" fontId="0" fillId="0" borderId="7" xfId="0" applyNumberFormat="1" applyBorder="1"/>
    <xf numFmtId="167" fontId="11" fillId="0" borderId="7" xfId="1" applyFont="1" applyBorder="1"/>
    <xf numFmtId="0" fontId="3" fillId="4" borderId="0" xfId="0" applyFont="1" applyFill="1" applyAlignment="1">
      <alignment horizontal="center" vertical="center" wrapText="1"/>
    </xf>
    <xf numFmtId="0" fontId="19" fillId="0" borderId="8" xfId="0" applyFont="1" applyBorder="1" applyAlignment="1">
      <alignment horizontal="left"/>
    </xf>
    <xf numFmtId="167" fontId="0" fillId="0" borderId="0" xfId="0" applyNumberFormat="1"/>
    <xf numFmtId="0" fontId="1" fillId="0" borderId="11" xfId="0" applyFont="1" applyBorder="1"/>
    <xf numFmtId="0" fontId="1" fillId="3" borderId="7" xfId="0" applyFont="1" applyFill="1" applyBorder="1"/>
    <xf numFmtId="0" fontId="9" fillId="3" borderId="3" xfId="0" applyFont="1" applyFill="1" applyBorder="1" applyAlignment="1">
      <alignment wrapText="1"/>
    </xf>
    <xf numFmtId="167" fontId="11" fillId="3" borderId="7" xfId="1" applyFont="1" applyFill="1" applyBorder="1"/>
    <xf numFmtId="9" fontId="3" fillId="2" borderId="0" xfId="2" applyFont="1" applyFill="1" applyAlignment="1">
      <alignment wrapText="1"/>
    </xf>
    <xf numFmtId="9" fontId="0" fillId="2" borderId="0" xfId="2" applyFont="1" applyFill="1"/>
    <xf numFmtId="9" fontId="0" fillId="2" borderId="10" xfId="2" applyFont="1" applyFill="1" applyBorder="1"/>
    <xf numFmtId="0" fontId="5" fillId="2" borderId="0" xfId="0" applyFont="1" applyFill="1"/>
    <xf numFmtId="9" fontId="16" fillId="2" borderId="16" xfId="2" applyFont="1" applyFill="1" applyBorder="1" applyAlignment="1">
      <alignment horizontal="center" wrapText="1"/>
    </xf>
    <xf numFmtId="9" fontId="16" fillId="2" borderId="0" xfId="2" applyFont="1" applyFill="1" applyBorder="1" applyAlignment="1">
      <alignment horizontal="center" wrapText="1"/>
    </xf>
    <xf numFmtId="9" fontId="3" fillId="2" borderId="0" xfId="2" applyFont="1" applyFill="1" applyBorder="1" applyAlignment="1">
      <alignment wrapText="1"/>
    </xf>
    <xf numFmtId="9" fontId="0" fillId="2" borderId="0" xfId="2" applyFont="1" applyFill="1" applyBorder="1"/>
    <xf numFmtId="1" fontId="3" fillId="2" borderId="0" xfId="2" applyNumberFormat="1" applyFont="1" applyFill="1" applyBorder="1" applyAlignment="1">
      <alignment wrapText="1"/>
    </xf>
    <xf numFmtId="9" fontId="16" fillId="2" borderId="16" xfId="2" applyFont="1" applyFill="1" applyBorder="1" applyAlignment="1">
      <alignment wrapText="1"/>
    </xf>
    <xf numFmtId="9" fontId="24" fillId="2" borderId="0" xfId="2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10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14" fontId="3" fillId="2" borderId="0" xfId="0" applyNumberFormat="1" applyFont="1" applyFill="1"/>
    <xf numFmtId="9" fontId="23" fillId="2" borderId="0" xfId="2" applyFont="1" applyFill="1" applyBorder="1" applyAlignment="1">
      <alignment horizontal="center" wrapText="1"/>
    </xf>
    <xf numFmtId="9" fontId="16" fillId="2" borderId="0" xfId="2" applyFont="1" applyFill="1" applyBorder="1" applyAlignment="1">
      <alignment wrapText="1"/>
    </xf>
    <xf numFmtId="0" fontId="0" fillId="2" borderId="16" xfId="0" applyFill="1" applyBorder="1"/>
    <xf numFmtId="0" fontId="16" fillId="2" borderId="0" xfId="0" applyFont="1" applyFill="1" applyAlignment="1">
      <alignment wrapText="1"/>
    </xf>
    <xf numFmtId="0" fontId="14" fillId="2" borderId="0" xfId="0" applyFont="1" applyFill="1" applyAlignment="1">
      <alignment wrapText="1"/>
    </xf>
    <xf numFmtId="0" fontId="16" fillId="2" borderId="0" xfId="0" applyFont="1" applyFill="1" applyAlignment="1">
      <alignment horizontal="center" wrapText="1"/>
    </xf>
    <xf numFmtId="0" fontId="0" fillId="3" borderId="0" xfId="0" applyFill="1"/>
    <xf numFmtId="0" fontId="8" fillId="3" borderId="0" xfId="0" applyFont="1" applyFill="1"/>
    <xf numFmtId="9" fontId="0" fillId="3" borderId="0" xfId="0" applyNumberFormat="1" applyFill="1"/>
    <xf numFmtId="0" fontId="26" fillId="2" borderId="0" xfId="0" applyFont="1" applyFill="1" applyAlignment="1">
      <alignment wrapText="1"/>
    </xf>
    <xf numFmtId="167" fontId="0" fillId="3" borderId="0" xfId="1" applyFont="1" applyFill="1" applyBorder="1"/>
    <xf numFmtId="0" fontId="1" fillId="0" borderId="0" xfId="0" applyFont="1"/>
    <xf numFmtId="0" fontId="9" fillId="0" borderId="0" xfId="0" applyFont="1" applyAlignment="1">
      <alignment wrapText="1"/>
    </xf>
    <xf numFmtId="167" fontId="0" fillId="0" borderId="0" xfId="1" applyFont="1" applyBorder="1"/>
    <xf numFmtId="0" fontId="9" fillId="2" borderId="0" xfId="0" applyFont="1" applyFill="1" applyAlignment="1">
      <alignment wrapText="1"/>
    </xf>
    <xf numFmtId="167" fontId="0" fillId="0" borderId="0" xfId="1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21" fillId="8" borderId="13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3" fillId="2" borderId="7" xfId="0" applyFont="1" applyFill="1" applyBorder="1"/>
    <xf numFmtId="0" fontId="27" fillId="2" borderId="0" xfId="0" applyFont="1" applyFill="1"/>
    <xf numFmtId="0" fontId="1" fillId="2" borderId="0" xfId="0" applyFont="1" applyFill="1"/>
    <xf numFmtId="167" fontId="0" fillId="2" borderId="0" xfId="1" applyFont="1" applyFill="1" applyBorder="1"/>
    <xf numFmtId="0" fontId="28" fillId="0" borderId="7" xfId="0" applyFont="1" applyBorder="1"/>
    <xf numFmtId="9" fontId="3" fillId="2" borderId="0" xfId="0" applyNumberFormat="1" applyFont="1" applyFill="1"/>
    <xf numFmtId="9" fontId="6" fillId="2" borderId="0" xfId="2" applyFont="1" applyFill="1" applyBorder="1"/>
    <xf numFmtId="9" fontId="24" fillId="2" borderId="0" xfId="2" applyFont="1" applyFill="1" applyBorder="1" applyAlignment="1">
      <alignment wrapText="1"/>
    </xf>
    <xf numFmtId="167" fontId="0" fillId="2" borderId="0" xfId="1" applyFont="1" applyFill="1" applyBorder="1" applyAlignment="1">
      <alignment horizontal="center"/>
    </xf>
    <xf numFmtId="167" fontId="0" fillId="2" borderId="0" xfId="0" applyNumberFormat="1" applyFill="1"/>
    <xf numFmtId="9" fontId="3" fillId="2" borderId="10" xfId="2" applyFont="1" applyFill="1" applyBorder="1"/>
    <xf numFmtId="0" fontId="4" fillId="4" borderId="18" xfId="0" applyFont="1" applyFill="1" applyBorder="1" applyAlignment="1">
      <alignment horizontal="center" vertical="center"/>
    </xf>
    <xf numFmtId="167" fontId="0" fillId="0" borderId="21" xfId="0" applyNumberFormat="1" applyBorder="1"/>
    <xf numFmtId="167" fontId="0" fillId="0" borderId="22" xfId="1" applyFont="1" applyFill="1" applyBorder="1"/>
    <xf numFmtId="0" fontId="0" fillId="0" borderId="21" xfId="0" applyBorder="1"/>
    <xf numFmtId="167" fontId="0" fillId="0" borderId="17" xfId="1" applyFont="1" applyFill="1" applyBorder="1"/>
    <xf numFmtId="167" fontId="0" fillId="3" borderId="17" xfId="1" applyFont="1" applyFill="1" applyBorder="1"/>
    <xf numFmtId="167" fontId="0" fillId="2" borderId="20" xfId="1" applyFont="1" applyFill="1" applyBorder="1"/>
    <xf numFmtId="167" fontId="0" fillId="2" borderId="21" xfId="1" applyFont="1" applyFill="1" applyBorder="1"/>
    <xf numFmtId="0" fontId="0" fillId="2" borderId="21" xfId="0" applyFill="1" applyBorder="1"/>
    <xf numFmtId="167" fontId="0" fillId="3" borderId="23" xfId="1" applyFont="1" applyFill="1" applyBorder="1"/>
    <xf numFmtId="10" fontId="0" fillId="0" borderId="0" xfId="2" applyNumberFormat="1" applyFont="1" applyBorder="1"/>
    <xf numFmtId="0" fontId="1" fillId="0" borderId="24" xfId="0" applyFont="1" applyBorder="1"/>
    <xf numFmtId="0" fontId="9" fillId="0" borderId="19" xfId="0" applyFont="1" applyBorder="1" applyAlignment="1">
      <alignment wrapText="1"/>
    </xf>
    <xf numFmtId="167" fontId="0" fillId="0" borderId="19" xfId="1" applyFont="1" applyBorder="1"/>
    <xf numFmtId="0" fontId="18" fillId="0" borderId="19" xfId="0" applyFont="1" applyBorder="1"/>
    <xf numFmtId="167" fontId="0" fillId="0" borderId="19" xfId="1" applyFont="1" applyFill="1" applyBorder="1"/>
    <xf numFmtId="0" fontId="19" fillId="0" borderId="24" xfId="0" applyFont="1" applyBorder="1" applyAlignment="1">
      <alignment horizontal="left"/>
    </xf>
    <xf numFmtId="0" fontId="19" fillId="0" borderId="19" xfId="0" applyFont="1" applyBorder="1" applyAlignment="1">
      <alignment horizontal="center"/>
    </xf>
    <xf numFmtId="0" fontId="3" fillId="0" borderId="24" xfId="0" applyFont="1" applyBorder="1"/>
    <xf numFmtId="0" fontId="1" fillId="3" borderId="24" xfId="0" applyFont="1" applyFill="1" applyBorder="1"/>
    <xf numFmtId="0" fontId="9" fillId="3" borderId="19" xfId="0" applyFont="1" applyFill="1" applyBorder="1" applyAlignment="1">
      <alignment wrapText="1"/>
    </xf>
    <xf numFmtId="167" fontId="0" fillId="3" borderId="19" xfId="1" applyFont="1" applyFill="1" applyBorder="1"/>
    <xf numFmtId="0" fontId="12" fillId="3" borderId="19" xfId="0" applyFont="1" applyFill="1" applyBorder="1"/>
    <xf numFmtId="166" fontId="12" fillId="3" borderId="19" xfId="0" applyNumberFormat="1" applyFont="1" applyFill="1" applyBorder="1"/>
    <xf numFmtId="0" fontId="3" fillId="0" borderId="25" xfId="0" applyFont="1" applyBorder="1"/>
    <xf numFmtId="167" fontId="3" fillId="2" borderId="25" xfId="0" applyNumberFormat="1" applyFont="1" applyFill="1" applyBorder="1"/>
    <xf numFmtId="167" fontId="3" fillId="0" borderId="25" xfId="0" applyNumberFormat="1" applyFont="1" applyBorder="1"/>
    <xf numFmtId="2" fontId="3" fillId="2" borderId="0" xfId="0" applyNumberFormat="1" applyFont="1" applyFill="1"/>
    <xf numFmtId="167" fontId="9" fillId="0" borderId="0" xfId="0" applyNumberFormat="1" applyFont="1" applyAlignment="1">
      <alignment wrapText="1"/>
    </xf>
    <xf numFmtId="9" fontId="3" fillId="2" borderId="0" xfId="2" applyFont="1" applyFill="1"/>
    <xf numFmtId="0" fontId="3" fillId="2" borderId="25" xfId="0" applyFont="1" applyFill="1" applyBorder="1"/>
    <xf numFmtId="0" fontId="9" fillId="2" borderId="12" xfId="0" applyFont="1" applyFill="1" applyBorder="1" applyAlignment="1">
      <alignment wrapText="1"/>
    </xf>
    <xf numFmtId="167" fontId="3" fillId="2" borderId="0" xfId="1" applyFont="1" applyFill="1" applyAlignment="1">
      <alignment horizontal="right"/>
    </xf>
    <xf numFmtId="0" fontId="20" fillId="4" borderId="0" xfId="3" applyFill="1" applyAlignment="1">
      <alignment horizontal="center" wrapText="1"/>
    </xf>
    <xf numFmtId="0" fontId="15" fillId="4" borderId="0" xfId="3" applyFont="1" applyFill="1" applyAlignment="1">
      <alignment horizontal="center" wrapText="1"/>
    </xf>
    <xf numFmtId="0" fontId="3" fillId="2" borderId="0" xfId="0" applyFont="1" applyFill="1" applyAlignment="1">
      <alignment horizontal="left"/>
    </xf>
    <xf numFmtId="0" fontId="29" fillId="2" borderId="0" xfId="0" applyFont="1" applyFill="1"/>
    <xf numFmtId="0" fontId="14" fillId="2" borderId="0" xfId="0" applyFont="1" applyFill="1" applyAlignment="1">
      <alignment horizontal="center" wrapText="1"/>
    </xf>
    <xf numFmtId="0" fontId="29" fillId="9" borderId="0" xfId="0" applyFont="1" applyFill="1" applyAlignment="1">
      <alignment horizontal="left"/>
    </xf>
    <xf numFmtId="0" fontId="29" fillId="9" borderId="0" xfId="0" applyFont="1" applyFill="1" applyAlignment="1">
      <alignment horizontal="left" vertical="center"/>
    </xf>
    <xf numFmtId="1" fontId="0" fillId="2" borderId="10" xfId="2" applyNumberFormat="1" applyFont="1" applyFill="1" applyBorder="1"/>
    <xf numFmtId="0" fontId="23" fillId="2" borderId="0" xfId="0" applyFont="1" applyFill="1" applyAlignment="1">
      <alignment horizontal="center"/>
    </xf>
    <xf numFmtId="9" fontId="1" fillId="2" borderId="0" xfId="0" applyNumberFormat="1" applyFont="1" applyFill="1" applyAlignment="1">
      <alignment horizontal="center" wrapText="1"/>
    </xf>
    <xf numFmtId="9" fontId="1" fillId="2" borderId="0" xfId="0" applyNumberFormat="1" applyFont="1" applyFill="1" applyAlignment="1">
      <alignment horizontal="right" wrapText="1"/>
    </xf>
    <xf numFmtId="0" fontId="12" fillId="2" borderId="0" xfId="0" applyFont="1" applyFill="1"/>
    <xf numFmtId="0" fontId="15" fillId="0" borderId="0" xfId="0" applyFont="1"/>
    <xf numFmtId="0" fontId="1" fillId="0" borderId="4" xfId="0" applyFont="1" applyBorder="1"/>
    <xf numFmtId="0" fontId="3" fillId="0" borderId="11" xfId="0" applyFont="1" applyBorder="1"/>
    <xf numFmtId="0" fontId="1" fillId="11" borderId="0" xfId="0" applyFont="1" applyFill="1"/>
    <xf numFmtId="0" fontId="9" fillId="11" borderId="0" xfId="0" applyFont="1" applyFill="1" applyAlignment="1">
      <alignment wrapText="1"/>
    </xf>
    <xf numFmtId="167" fontId="0" fillId="11" borderId="0" xfId="1" applyFont="1" applyFill="1" applyBorder="1"/>
    <xf numFmtId="0" fontId="31" fillId="12" borderId="0" xfId="0" applyFont="1" applyFill="1"/>
    <xf numFmtId="0" fontId="1" fillId="11" borderId="11" xfId="0" applyFont="1" applyFill="1" applyBorder="1"/>
    <xf numFmtId="0" fontId="3" fillId="11" borderId="11" xfId="0" applyFont="1" applyFill="1" applyBorder="1"/>
    <xf numFmtId="0" fontId="0" fillId="0" borderId="0" xfId="0" applyAlignment="1">
      <alignment wrapText="1"/>
    </xf>
    <xf numFmtId="0" fontId="30" fillId="10" borderId="5" xfId="0" applyFont="1" applyFill="1" applyBorder="1"/>
    <xf numFmtId="0" fontId="20" fillId="0" borderId="6" xfId="0" applyFont="1" applyBorder="1"/>
    <xf numFmtId="0" fontId="12" fillId="0" borderId="0" xfId="0" applyFont="1"/>
    <xf numFmtId="169" fontId="0" fillId="2" borderId="0" xfId="0" applyNumberFormat="1" applyFill="1"/>
    <xf numFmtId="170" fontId="0" fillId="2" borderId="0" xfId="0" applyNumberFormat="1" applyFill="1"/>
    <xf numFmtId="1" fontId="0" fillId="2" borderId="0" xfId="0" applyNumberFormat="1" applyFill="1"/>
    <xf numFmtId="0" fontId="4" fillId="10" borderId="25" xfId="0" applyFont="1" applyFill="1" applyBorder="1"/>
    <xf numFmtId="0" fontId="0" fillId="0" borderId="25" xfId="0" applyBorder="1" applyAlignment="1">
      <alignment wrapText="1"/>
    </xf>
    <xf numFmtId="169" fontId="0" fillId="2" borderId="0" xfId="1" applyNumberFormat="1" applyFont="1" applyFill="1" applyBorder="1"/>
    <xf numFmtId="0" fontId="4" fillId="10" borderId="25" xfId="0" applyFont="1" applyFill="1" applyBorder="1" applyAlignment="1">
      <alignment horizontal="center"/>
    </xf>
    <xf numFmtId="9" fontId="23" fillId="2" borderId="0" xfId="2" applyFont="1" applyFill="1" applyBorder="1" applyAlignment="1">
      <alignment wrapText="1"/>
    </xf>
    <xf numFmtId="0" fontId="13" fillId="2" borderId="0" xfId="0" applyFont="1" applyFill="1"/>
    <xf numFmtId="9" fontId="13" fillId="2" borderId="0" xfId="0" applyNumberFormat="1" applyFont="1" applyFill="1"/>
    <xf numFmtId="0" fontId="15" fillId="4" borderId="0" xfId="3" applyFont="1" applyFill="1" applyAlignment="1">
      <alignment horizontal="center" vertical="center" wrapText="1"/>
    </xf>
    <xf numFmtId="1" fontId="0" fillId="0" borderId="0" xfId="0" applyNumberFormat="1"/>
    <xf numFmtId="0" fontId="3" fillId="2" borderId="4" xfId="0" applyFont="1" applyFill="1" applyBorder="1"/>
    <xf numFmtId="169" fontId="0" fillId="0" borderId="0" xfId="0" applyNumberFormat="1"/>
    <xf numFmtId="167" fontId="0" fillId="0" borderId="0" xfId="1" applyFont="1" applyFill="1" applyAlignment="1">
      <alignment horizontal="center"/>
    </xf>
    <xf numFmtId="0" fontId="3" fillId="2" borderId="2" xfId="0" applyFont="1" applyFill="1" applyBorder="1"/>
    <xf numFmtId="0" fontId="9" fillId="0" borderId="2" xfId="0" applyFont="1" applyBorder="1" applyAlignment="1">
      <alignment wrapText="1"/>
    </xf>
    <xf numFmtId="171" fontId="12" fillId="3" borderId="19" xfId="0" applyNumberFormat="1" applyFont="1" applyFill="1" applyBorder="1"/>
    <xf numFmtId="168" fontId="0" fillId="2" borderId="0" xfId="1" applyNumberFormat="1" applyFont="1" applyFill="1" applyBorder="1"/>
    <xf numFmtId="10" fontId="0" fillId="0" borderId="0" xfId="2" applyNumberFormat="1" applyFont="1"/>
    <xf numFmtId="0" fontId="4" fillId="10" borderId="0" xfId="0" applyFont="1" applyFill="1" applyAlignment="1">
      <alignment horizontal="center"/>
    </xf>
    <xf numFmtId="9" fontId="12" fillId="2" borderId="0" xfId="2" applyFont="1" applyFill="1" applyBorder="1"/>
    <xf numFmtId="10" fontId="0" fillId="2" borderId="0" xfId="2" applyNumberFormat="1" applyFont="1" applyFill="1" applyBorder="1"/>
    <xf numFmtId="10" fontId="12" fillId="2" borderId="0" xfId="0" applyNumberFormat="1" applyFont="1" applyFill="1"/>
    <xf numFmtId="172" fontId="3" fillId="2" borderId="0" xfId="0" applyNumberFormat="1" applyFont="1" applyFill="1"/>
    <xf numFmtId="10" fontId="3" fillId="2" borderId="0" xfId="0" applyNumberFormat="1" applyFont="1" applyFill="1"/>
    <xf numFmtId="164" fontId="3" fillId="5" borderId="0" xfId="0" applyNumberFormat="1" applyFont="1" applyFill="1"/>
    <xf numFmtId="9" fontId="0" fillId="0" borderId="0" xfId="0" applyNumberFormat="1"/>
    <xf numFmtId="14" fontId="0" fillId="3" borderId="0" xfId="0" applyNumberFormat="1" applyFill="1"/>
    <xf numFmtId="0" fontId="35" fillId="2" borderId="0" xfId="0" applyFont="1" applyFill="1" applyAlignment="1">
      <alignment wrapText="1"/>
    </xf>
    <xf numFmtId="9" fontId="36" fillId="2" borderId="0" xfId="0" applyNumberFormat="1" applyFont="1" applyFill="1" applyAlignment="1">
      <alignment horizontal="right" wrapText="1"/>
    </xf>
    <xf numFmtId="9" fontId="3" fillId="2" borderId="26" xfId="2" applyFont="1" applyFill="1" applyBorder="1"/>
    <xf numFmtId="167" fontId="3" fillId="2" borderId="26" xfId="0" applyNumberFormat="1" applyFont="1" applyFill="1" applyBorder="1"/>
    <xf numFmtId="167" fontId="3" fillId="2" borderId="26" xfId="2" applyNumberFormat="1" applyFont="1" applyFill="1" applyBorder="1"/>
    <xf numFmtId="0" fontId="32" fillId="2" borderId="25" xfId="0" applyFont="1" applyFill="1" applyBorder="1" applyAlignment="1">
      <alignment horizontal="center"/>
    </xf>
    <xf numFmtId="167" fontId="13" fillId="2" borderId="26" xfId="0" applyNumberFormat="1" applyFont="1" applyFill="1" applyBorder="1" applyAlignment="1">
      <alignment horizontal="center"/>
    </xf>
    <xf numFmtId="167" fontId="3" fillId="0" borderId="26" xfId="0" applyNumberFormat="1" applyFont="1" applyBorder="1"/>
    <xf numFmtId="0" fontId="17" fillId="2" borderId="25" xfId="0" applyFont="1" applyFill="1" applyBorder="1" applyAlignment="1">
      <alignment horizontal="left"/>
    </xf>
    <xf numFmtId="0" fontId="3" fillId="0" borderId="25" xfId="0" applyFont="1" applyBorder="1" applyAlignment="1">
      <alignment wrapText="1"/>
    </xf>
    <xf numFmtId="0" fontId="3" fillId="2" borderId="25" xfId="0" applyFont="1" applyFill="1" applyBorder="1" applyAlignment="1">
      <alignment wrapText="1"/>
    </xf>
    <xf numFmtId="0" fontId="4" fillId="10" borderId="27" xfId="0" applyFont="1" applyFill="1" applyBorder="1" applyAlignment="1">
      <alignment horizontal="center"/>
    </xf>
    <xf numFmtId="0" fontId="4" fillId="10" borderId="28" xfId="0" applyFont="1" applyFill="1" applyBorder="1" applyAlignment="1">
      <alignment horizontal="center"/>
    </xf>
    <xf numFmtId="14" fontId="37" fillId="2" borderId="0" xfId="0" applyNumberFormat="1" applyFont="1" applyFill="1" applyAlignment="1">
      <alignment horizontal="center"/>
    </xf>
    <xf numFmtId="167" fontId="0" fillId="2" borderId="19" xfId="1" applyFont="1" applyFill="1" applyBorder="1"/>
    <xf numFmtId="0" fontId="0" fillId="2" borderId="0" xfId="0" applyFill="1" applyAlignment="1">
      <alignment wrapText="1"/>
    </xf>
    <xf numFmtId="0" fontId="38" fillId="2" borderId="0" xfId="0" applyFont="1" applyFill="1"/>
    <xf numFmtId="0" fontId="39" fillId="2" borderId="0" xfId="0" applyFont="1" applyFill="1" applyAlignment="1">
      <alignment horizontal="left"/>
    </xf>
    <xf numFmtId="0" fontId="0" fillId="2" borderId="29" xfId="0" applyFill="1" applyBorder="1"/>
    <xf numFmtId="0" fontId="8" fillId="2" borderId="0" xfId="0" applyFont="1" applyFill="1"/>
    <xf numFmtId="9" fontId="0" fillId="2" borderId="0" xfId="0" applyNumberFormat="1" applyFill="1"/>
    <xf numFmtId="170" fontId="0" fillId="2" borderId="0" xfId="1" applyNumberFormat="1" applyFont="1" applyFill="1" applyBorder="1"/>
    <xf numFmtId="9" fontId="0" fillId="2" borderId="10" xfId="0" applyNumberFormat="1" applyFill="1" applyBorder="1"/>
    <xf numFmtId="170" fontId="0" fillId="2" borderId="10" xfId="1" applyNumberFormat="1" applyFont="1" applyFill="1" applyBorder="1"/>
    <xf numFmtId="169" fontId="0" fillId="2" borderId="10" xfId="1" applyNumberFormat="1" applyFont="1" applyFill="1" applyBorder="1"/>
    <xf numFmtId="0" fontId="4" fillId="7" borderId="0" xfId="0" applyFont="1" applyFill="1" applyAlignment="1">
      <alignment horizontal="center" vertical="center" wrapText="1"/>
    </xf>
    <xf numFmtId="0" fontId="30" fillId="4" borderId="0" xfId="3" applyFont="1" applyFill="1" applyBorder="1" applyAlignment="1">
      <alignment horizontal="center" vertical="top" wrapText="1"/>
    </xf>
    <xf numFmtId="0" fontId="4" fillId="7" borderId="0" xfId="0" applyFont="1" applyFill="1" applyAlignment="1">
      <alignment horizontal="center" vertical="center"/>
    </xf>
    <xf numFmtId="167" fontId="3" fillId="2" borderId="2" xfId="0" applyNumberFormat="1" applyFont="1" applyFill="1" applyBorder="1" applyAlignment="1">
      <alignment wrapText="1"/>
    </xf>
    <xf numFmtId="164" fontId="3" fillId="2" borderId="2" xfId="0" applyNumberFormat="1" applyFont="1" applyFill="1" applyBorder="1"/>
    <xf numFmtId="167" fontId="3" fillId="2" borderId="2" xfId="0" applyNumberFormat="1" applyFont="1" applyFill="1" applyBorder="1"/>
    <xf numFmtId="169" fontId="0" fillId="2" borderId="31" xfId="1" applyNumberFormat="1" applyFont="1" applyFill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13" borderId="0" xfId="0" applyFont="1" applyFill="1" applyAlignment="1">
      <alignment horizontal="center"/>
    </xf>
    <xf numFmtId="0" fontId="41" fillId="13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7" fillId="13" borderId="0" xfId="0" applyFont="1" applyFill="1" applyAlignment="1">
      <alignment horizontal="center"/>
    </xf>
    <xf numFmtId="0" fontId="20" fillId="0" borderId="6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8" borderId="13" xfId="0" applyFont="1" applyFill="1" applyBorder="1" applyAlignment="1">
      <alignment horizontal="center" vertical="center"/>
    </xf>
    <xf numFmtId="0" fontId="9" fillId="0" borderId="30" xfId="0" applyFont="1" applyBorder="1" applyAlignment="1">
      <alignment wrapText="1"/>
    </xf>
    <xf numFmtId="167" fontId="0" fillId="0" borderId="32" xfId="1" applyFont="1" applyBorder="1"/>
    <xf numFmtId="10" fontId="0" fillId="0" borderId="32" xfId="2" applyNumberFormat="1" applyFont="1" applyBorder="1"/>
    <xf numFmtId="9" fontId="0" fillId="0" borderId="32" xfId="2" applyFont="1" applyBorder="1"/>
    <xf numFmtId="9" fontId="23" fillId="2" borderId="10" xfId="2" applyFont="1" applyFill="1" applyBorder="1" applyAlignment="1">
      <alignment wrapText="1"/>
    </xf>
    <xf numFmtId="9" fontId="25" fillId="2" borderId="0" xfId="2" applyFont="1" applyFill="1" applyBorder="1" applyAlignment="1">
      <alignment horizontal="center" wrapText="1"/>
    </xf>
    <xf numFmtId="165" fontId="0" fillId="0" borderId="32" xfId="1" applyNumberFormat="1" applyFont="1" applyBorder="1"/>
    <xf numFmtId="0" fontId="45" fillId="2" borderId="0" xfId="0" applyFont="1" applyFill="1"/>
    <xf numFmtId="9" fontId="46" fillId="2" borderId="0" xfId="0" applyNumberFormat="1" applyFont="1" applyFill="1"/>
    <xf numFmtId="0" fontId="0" fillId="2" borderId="32" xfId="0" applyFill="1" applyBorder="1"/>
    <xf numFmtId="9" fontId="23" fillId="2" borderId="33" xfId="2" applyFont="1" applyFill="1" applyBorder="1" applyAlignment="1">
      <alignment wrapText="1"/>
    </xf>
    <xf numFmtId="0" fontId="0" fillId="2" borderId="0" xfId="0" applyFill="1" applyAlignment="1">
      <alignment horizontal="center" vertical="center"/>
    </xf>
    <xf numFmtId="0" fontId="43" fillId="0" borderId="3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32" xfId="2" applyNumberFormat="1" applyFont="1" applyBorder="1"/>
    <xf numFmtId="0" fontId="40" fillId="2" borderId="0" xfId="0" applyFont="1" applyFill="1" applyAlignment="1">
      <alignment horizontal="left"/>
    </xf>
    <xf numFmtId="9" fontId="0" fillId="0" borderId="0" xfId="2" applyFont="1" applyFill="1" applyBorder="1"/>
    <xf numFmtId="167" fontId="0" fillId="0" borderId="0" xfId="1" applyFont="1"/>
    <xf numFmtId="1" fontId="0" fillId="0" borderId="32" xfId="2" applyNumberFormat="1" applyFont="1" applyBorder="1"/>
    <xf numFmtId="2" fontId="0" fillId="0" borderId="32" xfId="2" applyNumberFormat="1" applyFont="1" applyBorder="1"/>
    <xf numFmtId="167" fontId="0" fillId="0" borderId="0" xfId="1" applyFont="1" applyFill="1"/>
    <xf numFmtId="167" fontId="0" fillId="2" borderId="32" xfId="1" applyFont="1" applyFill="1" applyBorder="1"/>
    <xf numFmtId="168" fontId="0" fillId="0" borderId="32" xfId="1" applyNumberFormat="1" applyFont="1" applyBorder="1"/>
    <xf numFmtId="0" fontId="0" fillId="0" borderId="25" xfId="0" applyBorder="1"/>
    <xf numFmtId="169" fontId="0" fillId="0" borderId="0" xfId="1" applyNumberFormat="1" applyFont="1" applyFill="1" applyBorder="1"/>
    <xf numFmtId="14" fontId="0" fillId="2" borderId="0" xfId="0" applyNumberFormat="1" applyFill="1"/>
    <xf numFmtId="167" fontId="3" fillId="2" borderId="26" xfId="1" applyFont="1" applyFill="1" applyBorder="1"/>
    <xf numFmtId="0" fontId="3" fillId="2" borderId="24" xfId="0" applyFont="1" applyFill="1" applyBorder="1"/>
    <xf numFmtId="0" fontId="28" fillId="2" borderId="7" xfId="0" applyFont="1" applyFill="1" applyBorder="1"/>
    <xf numFmtId="0" fontId="0" fillId="2" borderId="25" xfId="0" applyFill="1" applyBorder="1" applyAlignment="1">
      <alignment wrapText="1"/>
    </xf>
    <xf numFmtId="167" fontId="3" fillId="2" borderId="36" xfId="1" applyFont="1" applyFill="1" applyBorder="1"/>
    <xf numFmtId="167" fontId="3" fillId="2" borderId="0" xfId="1" applyFont="1" applyFill="1" applyBorder="1"/>
    <xf numFmtId="0" fontId="41" fillId="2" borderId="12" xfId="0" applyFont="1" applyFill="1" applyBorder="1" applyAlignment="1">
      <alignment wrapText="1"/>
    </xf>
    <xf numFmtId="9" fontId="3" fillId="2" borderId="0" xfId="2" applyFont="1" applyFill="1" applyBorder="1"/>
    <xf numFmtId="167" fontId="3" fillId="2" borderId="0" xfId="1" applyFont="1" applyFill="1"/>
    <xf numFmtId="0" fontId="41" fillId="2" borderId="0" xfId="0" applyFont="1" applyFill="1" applyAlignment="1">
      <alignment wrapText="1"/>
    </xf>
    <xf numFmtId="0" fontId="3" fillId="0" borderId="37" xfId="0" applyFont="1" applyBorder="1" applyAlignment="1">
      <alignment wrapText="1"/>
    </xf>
    <xf numFmtId="0" fontId="3" fillId="0" borderId="37" xfId="0" applyFont="1" applyBorder="1"/>
    <xf numFmtId="167" fontId="3" fillId="5" borderId="0" xfId="0" applyNumberFormat="1" applyFont="1" applyFill="1"/>
    <xf numFmtId="0" fontId="42" fillId="16" borderId="33" xfId="0" applyFont="1" applyFill="1" applyBorder="1" applyAlignment="1">
      <alignment horizontal="center"/>
    </xf>
    <xf numFmtId="10" fontId="0" fillId="2" borderId="32" xfId="2" applyNumberFormat="1" applyFont="1" applyFill="1" applyBorder="1"/>
    <xf numFmtId="10" fontId="3" fillId="2" borderId="10" xfId="0" applyNumberFormat="1" applyFont="1" applyFill="1" applyBorder="1"/>
    <xf numFmtId="0" fontId="0" fillId="17" borderId="0" xfId="0" applyFill="1"/>
    <xf numFmtId="173" fontId="0" fillId="2" borderId="0" xfId="0" applyNumberFormat="1" applyFill="1"/>
    <xf numFmtId="170" fontId="0" fillId="2" borderId="39" xfId="1" applyNumberFormat="1" applyFont="1" applyFill="1" applyBorder="1"/>
    <xf numFmtId="174" fontId="0" fillId="2" borderId="10" xfId="1" applyNumberFormat="1" applyFont="1" applyFill="1" applyBorder="1"/>
    <xf numFmtId="173" fontId="0" fillId="2" borderId="33" xfId="0" applyNumberFormat="1" applyFill="1" applyBorder="1"/>
    <xf numFmtId="175" fontId="0" fillId="2" borderId="10" xfId="0" applyNumberFormat="1" applyFill="1" applyBorder="1"/>
    <xf numFmtId="0" fontId="36" fillId="2" borderId="0" xfId="0" applyFont="1" applyFill="1"/>
    <xf numFmtId="1" fontId="0" fillId="2" borderId="33" xfId="0" applyNumberFormat="1" applyFill="1" applyBorder="1"/>
    <xf numFmtId="9" fontId="36" fillId="2" borderId="0" xfId="2" applyFont="1" applyFill="1" applyBorder="1" applyAlignment="1">
      <alignment wrapText="1"/>
    </xf>
    <xf numFmtId="9" fontId="36" fillId="2" borderId="0" xfId="2" applyFont="1" applyFill="1" applyBorder="1" applyAlignment="1">
      <alignment horizontal="center" wrapText="1"/>
    </xf>
    <xf numFmtId="9" fontId="49" fillId="2" borderId="0" xfId="2" applyFont="1" applyFill="1" applyBorder="1" applyAlignment="1">
      <alignment horizontal="center" wrapText="1"/>
    </xf>
    <xf numFmtId="0" fontId="36" fillId="2" borderId="16" xfId="0" applyFont="1" applyFill="1" applyBorder="1" applyAlignment="1">
      <alignment horizontal="center" wrapText="1"/>
    </xf>
    <xf numFmtId="9" fontId="44" fillId="2" borderId="0" xfId="2" applyFont="1" applyFill="1" applyBorder="1" applyAlignment="1">
      <alignment horizontal="left" wrapText="1"/>
    </xf>
    <xf numFmtId="9" fontId="19" fillId="2" borderId="0" xfId="2" applyFont="1" applyFill="1" applyBorder="1" applyAlignment="1">
      <alignment horizontal="left" wrapText="1"/>
    </xf>
    <xf numFmtId="9" fontId="24" fillId="2" borderId="0" xfId="2" applyFont="1" applyFill="1" applyBorder="1" applyAlignment="1">
      <alignment horizontal="center" wrapText="1"/>
    </xf>
    <xf numFmtId="9" fontId="36" fillId="2" borderId="16" xfId="2" applyFont="1" applyFill="1" applyBorder="1" applyAlignment="1">
      <alignment horizontal="center" wrapText="1"/>
    </xf>
    <xf numFmtId="0" fontId="23" fillId="2" borderId="15" xfId="0" applyFont="1" applyFill="1" applyBorder="1" applyAlignment="1">
      <alignment horizontal="center"/>
    </xf>
    <xf numFmtId="9" fontId="23" fillId="2" borderId="0" xfId="2" applyFont="1" applyFill="1" applyBorder="1" applyAlignment="1">
      <alignment horizontal="center" wrapText="1"/>
    </xf>
    <xf numFmtId="9" fontId="16" fillId="2" borderId="16" xfId="2" applyFont="1" applyFill="1" applyBorder="1" applyAlignment="1">
      <alignment horizontal="center" wrapText="1"/>
    </xf>
    <xf numFmtId="0" fontId="45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top" wrapText="1"/>
    </xf>
    <xf numFmtId="0" fontId="2" fillId="2" borderId="9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2" fillId="16" borderId="33" xfId="0" applyFont="1" applyFill="1" applyBorder="1" applyAlignment="1">
      <alignment horizontal="center"/>
    </xf>
    <xf numFmtId="0" fontId="42" fillId="15" borderId="35" xfId="0" applyFont="1" applyFill="1" applyBorder="1" applyAlignment="1">
      <alignment horizontal="center"/>
    </xf>
    <xf numFmtId="0" fontId="42" fillId="15" borderId="33" xfId="0" applyFont="1" applyFill="1" applyBorder="1" applyAlignment="1">
      <alignment horizontal="center"/>
    </xf>
    <xf numFmtId="0" fontId="42" fillId="14" borderId="35" xfId="0" applyFont="1" applyFill="1" applyBorder="1" applyAlignment="1">
      <alignment horizontal="center"/>
    </xf>
    <xf numFmtId="0" fontId="42" fillId="14" borderId="33" xfId="0" applyFont="1" applyFill="1" applyBorder="1" applyAlignment="1">
      <alignment horizontal="center"/>
    </xf>
    <xf numFmtId="0" fontId="42" fillId="14" borderId="34" xfId="0" applyFont="1" applyFill="1" applyBorder="1" applyAlignment="1">
      <alignment horizontal="center"/>
    </xf>
    <xf numFmtId="0" fontId="42" fillId="13" borderId="33" xfId="0" applyFont="1" applyFill="1" applyBorder="1" applyAlignment="1">
      <alignment horizontal="center"/>
    </xf>
    <xf numFmtId="0" fontId="42" fillId="13" borderId="34" xfId="0" applyFont="1" applyFill="1" applyBorder="1" applyAlignment="1">
      <alignment horizontal="center"/>
    </xf>
    <xf numFmtId="0" fontId="42" fillId="15" borderId="38" xfId="0" applyFont="1" applyFill="1" applyBorder="1" applyAlignment="1">
      <alignment horizontal="center"/>
    </xf>
    <xf numFmtId="0" fontId="42" fillId="15" borderId="0" xfId="0" applyFont="1" applyFill="1" applyAlignment="1">
      <alignment horizontal="center"/>
    </xf>
    <xf numFmtId="0" fontId="0" fillId="0" borderId="0" xfId="0" applyAlignment="1"/>
  </cellXfs>
  <cellStyles count="4">
    <cellStyle name="Accent5" xfId="3" builtinId="45"/>
    <cellStyle name="Currency" xfId="1" builtinId="4"/>
    <cellStyle name="Normal" xfId="0" builtinId="0"/>
    <cellStyle name="Percent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</dxf>
    <dxf>
      <numFmt numFmtId="167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\ #,##0;[Red]\-&quot;$&quot;\ 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solid">
          <fgColor indexed="64"/>
          <bgColor rgb="FFB9193B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 patternType="solid">
          <fgColor indexed="64"/>
          <bgColor rgb="FFB9193B"/>
        </patternFill>
      </fill>
      <alignment horizontal="center" vertical="bottom" textRotation="0" indent="0" justifyLastLine="0" shrinkToFit="0" readingOrder="0"/>
    </dxf>
    <dxf>
      <numFmt numFmtId="167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numFmt numFmtId="167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i val="0"/>
      </font>
    </dxf>
    <dxf>
      <numFmt numFmtId="167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border diagonalUp="0" diagonalDown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3" formatCode="0%"/>
      <fill>
        <patternFill patternType="solid">
          <fgColor indexed="64"/>
          <bgColor theme="0"/>
        </patternFill>
      </fill>
    </dxf>
    <dxf>
      <numFmt numFmtId="13" formatCode="0%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left style="thin">
          <color theme="8"/>
        </left>
      </border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8"/>
        </left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&quot;$&quot;\ * #,##0.00_-;\-&quot;$&quot;\ * #,##0.00_-;_-&quot;$&quot;\ 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67" formatCode="_-&quot;$&quot;\ * #,##0.00_-;\-&quot;$&quot;\ * #,##0.00_-;_-&quot;$&quot;\ * &quot;-&quot;??_-;_-@_-"/>
      <fill>
        <patternFill patternType="solid">
          <fgColor indexed="64"/>
          <bgColor theme="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4" tint="0.39991454817346722"/>
        </left>
        <right style="thin">
          <color theme="4" tint="0.39991454817346722"/>
        </right>
        <vertical/>
      </border>
    </dxf>
    <dxf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1454817346722"/>
        </left>
        <right style="thin">
          <color theme="4" tint="0.39991454817346722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#,##0.00_ ;[Red]\-#,##0.00\ 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</dxf>
    <dxf>
      <font>
        <i/>
        <sz val="8"/>
      </font>
      <fill>
        <patternFill patternType="solid">
          <fgColor indexed="64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theme="4" tint="0.399945066682943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</border>
    </dxf>
    <dxf>
      <border outline="0">
        <top style="thin">
          <color theme="4" tint="0.39991454817346722"/>
        </top>
      </border>
    </dxf>
    <dxf>
      <border outline="0">
        <top style="thin">
          <color theme="4" tint="0.39994506668294322"/>
        </top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numFmt numFmtId="167" formatCode="_-&quot;$&quot;\ * #,##0.00_-;\-&quot;$&quot;\ * #,##0.00_-;_-&quot;$&quot;\ * &quot;-&quot;??_-;_-@_-"/>
    </dxf>
    <dxf>
      <numFmt numFmtId="167" formatCode="_-&quot;$&quot;\ * #,##0.00_-;\-&quot;$&quot;\ * #,##0.00_-;_-&quot;$&quot;\ * &quot;-&quot;??_-;_-@_-"/>
    </dxf>
    <dxf>
      <numFmt numFmtId="167" formatCode="_-&quot;$&quot;\ * #,##0.00_-;\-&quot;$&quot;\ * #,##0.00_-;_-&quot;$&quot;\ * &quot;-&quot;??_-;_-@_-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thin">
          <color theme="4" tint="0.39991454817346722"/>
        </vertical>
        <horizontal style="thin">
          <color theme="4" tint="0.39991454817346722"/>
        </horizontal>
      </border>
    </dxf>
    <dxf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thin">
          <color theme="4" tint="0.39991454817346722"/>
        </vertical>
        <horizontal style="thin">
          <color theme="4" tint="0.399914548173467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thin">
          <color theme="4" tint="0.39991454817346722"/>
        </vertical>
        <horizontal style="thin">
          <color theme="4" tint="0.399914548173467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thin">
          <color theme="4" tint="0.39991454817346722"/>
        </vertical>
        <horizontal style="thin">
          <color theme="4" tint="0.3999145481734672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4506668294322"/>
        </left>
        <right style="thin">
          <color theme="4" tint="0.39991454817346722"/>
        </right>
        <top style="thin">
          <color theme="4" tint="0.39991454817346722"/>
        </top>
        <bottom style="thin">
          <color theme="4" tint="0.39991454817346722"/>
        </bottom>
        <vertical style="thin">
          <color theme="4" tint="0.39991454817346722"/>
        </vertical>
        <horizontal style="thin">
          <color theme="4" tint="0.39991454817346722"/>
        </horizontal>
      </border>
    </dxf>
    <dxf>
      <border outline="0"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B9193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9193B"/>
        </left>
        <right style="thin">
          <color rgb="FFB9193B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i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9193B"/>
      <color rgb="FFFA6A6A"/>
      <color rgb="FFF83E3E"/>
      <color rgb="FFF7C1CD"/>
      <color rgb="FFFF9966"/>
      <color rgb="FFFA7272"/>
      <color rgb="FFE11143"/>
      <color rgb="FFE81693"/>
      <color rgb="FFF9CFF5"/>
      <color rgb="FFF9D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 graph'!$C$39</c:f>
              <c:strCache>
                <c:ptCount val="1"/>
                <c:pt idx="0">
                  <c:v>TCO/ year reduction($)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cat>
          <c:val>
            <c:numRef>
              <c:f>'To graph'!$E$39:$H$39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4-4C9F-9563-21EA3213D7D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55198847"/>
        <c:axId val="1292475039"/>
      </c:lineChart>
      <c:catAx>
        <c:axId val="115519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475039"/>
        <c:crosses val="autoZero"/>
        <c:auto val="1"/>
        <c:lblAlgn val="ctr"/>
        <c:lblOffset val="100"/>
        <c:noMultiLvlLbl val="0"/>
      </c:catAx>
      <c:valAx>
        <c:axId val="129247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19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>
                <a:solidFill>
                  <a:srgbClr val="B9193B"/>
                </a:solidFill>
              </a:rPr>
              <a:t>ROI &amp;</a:t>
            </a:r>
            <a:r>
              <a:rPr lang="es-CO" sz="1800" baseline="0">
                <a:solidFill>
                  <a:srgbClr val="B9193B"/>
                </a:solidFill>
              </a:rPr>
              <a:t> </a:t>
            </a:r>
            <a:r>
              <a:rPr lang="es-CO" sz="1800">
                <a:solidFill>
                  <a:srgbClr val="B9193B"/>
                </a:solidFill>
              </a:rPr>
              <a:t>TCO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11830228538506"/>
          <c:y val="0.16767290384630421"/>
          <c:w val="0.70844003683069035"/>
          <c:h val="0.74561912355892224"/>
        </c:manualLayout>
      </c:layout>
      <c:scatterChart>
        <c:scatterStyle val="lineMarker"/>
        <c:varyColors val="0"/>
        <c:ser>
          <c:idx val="0"/>
          <c:order val="0"/>
          <c:tx>
            <c:v>Costs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5866632524592965E-2"/>
                  <c:y val="-5.31216914668189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4D-4B5F-B9D4-36C74253A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graph'!$E$39:$H$39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4D-4B5F-B9D4-36C74253A5B9}"/>
            </c:ext>
          </c:extLst>
        </c:ser>
        <c:ser>
          <c:idx val="1"/>
          <c:order val="1"/>
          <c:tx>
            <c:strRef>
              <c:f>'To graph'!$C$40:$D$40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graph'!$E$40:$H$40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4D-4B5F-B9D4-36C74253A5B9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'To graph'!$E$44:$E$45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graph'!$C$44:$C$45</c:f>
              <c:numCache>
                <c:formatCode>_-"$"\ * #,##0.00_-;\-"$"\ * #,##0.00_-;_-"$"\ * "-"??_-;_-@_-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4D-4B5F-B9D4-36C74253A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33584"/>
        <c:axId val="615658000"/>
      </c:scatterChart>
      <c:valAx>
        <c:axId val="82813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58000"/>
        <c:crosses val="autoZero"/>
        <c:crossBetween val="midCat"/>
      </c:valAx>
      <c:valAx>
        <c:axId val="61565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Costs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2200">
                <a:solidFill>
                  <a:srgbClr val="B9193B"/>
                </a:solidFill>
              </a:rPr>
              <a:t>Cost First Year Legay/Cloud</a:t>
            </a:r>
          </a:p>
        </c:rich>
      </c:tx>
      <c:layout>
        <c:manualLayout>
          <c:xMode val="edge"/>
          <c:yMode val="edge"/>
          <c:x val="0.23822971495528772"/>
          <c:y val="2.71570038340557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graph'!$E$12</c:f>
              <c:strCache>
                <c:ptCount val="1"/>
                <c:pt idx="0">
                  <c:v>1 [$]</c:v>
                </c:pt>
              </c:strCache>
            </c:strRef>
          </c:tx>
          <c:spPr>
            <a:solidFill>
              <a:srgbClr val="B9193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FB-4024-8163-3CF090358781}"/>
              </c:ext>
            </c:extLst>
          </c:dPt>
          <c:dPt>
            <c:idx val="2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FB-4024-8163-3CF090358781}"/>
              </c:ext>
            </c:extLst>
          </c:dPt>
          <c:dLbls>
            <c:dLbl>
              <c:idx val="2"/>
              <c:layout>
                <c:manualLayout>
                  <c:x val="2.6396379477970331E-2"/>
                  <c:y val="-1.1845220462870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FB-4024-8163-3CF090358781}"/>
                </c:ext>
              </c:extLst>
            </c:dLbl>
            <c:dLbl>
              <c:idx val="4"/>
              <c:layout>
                <c:manualLayout>
                  <c:x val="-4.6581846137594821E-2"/>
                  <c:y val="-2.1321396833166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E9-4A3C-854A-9D61796508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graph'!$C$13:$D$18</c:f>
              <c:strCache>
                <c:ptCount val="6"/>
                <c:pt idx="0">
                  <c:v>Capex Legacy</c:v>
                </c:pt>
                <c:pt idx="1">
                  <c:v>Opex Legacy</c:v>
                </c:pt>
                <c:pt idx="2">
                  <c:v>Total Legacy</c:v>
                </c:pt>
                <c:pt idx="3">
                  <c:v>Capex Cloud</c:v>
                </c:pt>
                <c:pt idx="4">
                  <c:v>Opex Cloud</c:v>
                </c:pt>
                <c:pt idx="5">
                  <c:v>Total Cloud</c:v>
                </c:pt>
              </c:strCache>
            </c:strRef>
          </c:cat>
          <c:val>
            <c:numRef>
              <c:f>'To graph'!$E$13:$E$18</c:f>
              <c:numCache>
                <c:formatCode>_-"$"\ * #,##0.00_-;\-"$"\ * #,##0.00_-;_-"$"\ 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FB-4024-8163-3CF090358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00127904"/>
        <c:axId val="1808071808"/>
      </c:barChart>
      <c:catAx>
        <c:axId val="19001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071808"/>
        <c:crosses val="autoZero"/>
        <c:auto val="1"/>
        <c:lblAlgn val="ctr"/>
        <c:lblOffset val="100"/>
        <c:noMultiLvlLbl val="0"/>
      </c:catAx>
      <c:valAx>
        <c:axId val="18080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2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>
                <a:solidFill>
                  <a:srgbClr val="B9193B"/>
                </a:solidFill>
              </a:rPr>
              <a:t>Cost Second Year Legay/Cloud</a:t>
            </a:r>
            <a:endParaRPr lang="es-CO" sz="2200" b="1">
              <a:solidFill>
                <a:srgbClr val="B9193B"/>
              </a:solidFill>
            </a:endParaRPr>
          </a:p>
          <a:p>
            <a:pPr algn="ctr" rtl="0"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graph'!$F$12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rgbClr val="B9193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B7-400D-94DF-38504C468347}"/>
              </c:ext>
            </c:extLst>
          </c:dPt>
          <c:dPt>
            <c:idx val="2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B7-400D-94DF-38504C468347}"/>
              </c:ext>
            </c:extLst>
          </c:dPt>
          <c:dLbls>
            <c:dLbl>
              <c:idx val="2"/>
              <c:layout>
                <c:manualLayout>
                  <c:x val="3.0353453576449443E-2"/>
                  <c:y val="-3.1923059818516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B7-400D-94DF-38504C468347}"/>
                </c:ext>
              </c:extLst>
            </c:dLbl>
            <c:dLbl>
              <c:idx val="4"/>
              <c:layout>
                <c:manualLayout>
                  <c:x val="-5.7511806776430523E-2"/>
                  <c:y val="-4.42011597487147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50-4071-A6E7-DAD894C23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graph'!$C$13:$C$18</c:f>
              <c:strCache>
                <c:ptCount val="6"/>
                <c:pt idx="0">
                  <c:v>Capex Legacy</c:v>
                </c:pt>
                <c:pt idx="1">
                  <c:v>Opex Legacy</c:v>
                </c:pt>
                <c:pt idx="2">
                  <c:v>Total Legacy</c:v>
                </c:pt>
                <c:pt idx="3">
                  <c:v>Capex Cloud</c:v>
                </c:pt>
                <c:pt idx="4">
                  <c:v>Opex Cloud</c:v>
                </c:pt>
                <c:pt idx="5">
                  <c:v>Total Cloud</c:v>
                </c:pt>
              </c:strCache>
            </c:strRef>
          </c:cat>
          <c:val>
            <c:numRef>
              <c:f>'To graph'!$F$13:$F$18</c:f>
              <c:numCache>
                <c:formatCode>_-"$"\ * #,##0.00_-;\-"$"\ * #,##0.00_-;_-"$"\ 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B7-400D-94DF-38504C468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0125904"/>
        <c:axId val="2126721168"/>
      </c:barChart>
      <c:catAx>
        <c:axId val="19001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21168"/>
        <c:crosses val="autoZero"/>
        <c:auto val="1"/>
        <c:lblAlgn val="ctr"/>
        <c:lblOffset val="100"/>
        <c:noMultiLvlLbl val="0"/>
      </c:catAx>
      <c:valAx>
        <c:axId val="212672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200" b="1">
                <a:solidFill>
                  <a:srgbClr val="B9193B"/>
                </a:solidFill>
              </a:rPr>
              <a:t>Cost Thrid Year Legay/Cloud</a:t>
            </a:r>
            <a:endParaRPr lang="es-CO" sz="2200" b="1">
              <a:solidFill>
                <a:srgbClr val="B9193B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graph'!$G$12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rgbClr val="B9193B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52-4B4A-827B-809172278464}"/>
              </c:ext>
            </c:extLst>
          </c:dPt>
          <c:dPt>
            <c:idx val="2"/>
            <c:invertIfNegative val="0"/>
            <c:bubble3D val="0"/>
            <c:spPr>
              <a:solidFill>
                <a:srgbClr val="F094A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52-4B4A-827B-809172278464}"/>
              </c:ext>
            </c:extLst>
          </c:dPt>
          <c:dLbls>
            <c:dLbl>
              <c:idx val="2"/>
              <c:layout>
                <c:manualLayout>
                  <c:x val="4.2496130237192543E-2"/>
                  <c:y val="-2.5000004921260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52-4B4A-827B-8091722784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graph'!$C$13:$C$18</c:f>
              <c:strCache>
                <c:ptCount val="6"/>
                <c:pt idx="0">
                  <c:v>Capex Legacy</c:v>
                </c:pt>
                <c:pt idx="1">
                  <c:v>Opex Legacy</c:v>
                </c:pt>
                <c:pt idx="2">
                  <c:v>Total Legacy</c:v>
                </c:pt>
                <c:pt idx="3">
                  <c:v>Capex Cloud</c:v>
                </c:pt>
                <c:pt idx="4">
                  <c:v>Opex Cloud</c:v>
                </c:pt>
                <c:pt idx="5">
                  <c:v>Total Cloud</c:v>
                </c:pt>
              </c:strCache>
            </c:strRef>
          </c:cat>
          <c:val>
            <c:numRef>
              <c:f>'To graph'!$G$13:$G$18</c:f>
              <c:numCache>
                <c:formatCode>_-"$"\ * #,##0.00_-;\-"$"\ * #,##0.00_-;_-"$"\ * "-"??_-;_-@_-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52-4B4A-827B-809172278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4673216"/>
        <c:axId val="1897359008"/>
      </c:barChart>
      <c:catAx>
        <c:axId val="180467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359008"/>
        <c:crosses val="autoZero"/>
        <c:auto val="1"/>
        <c:lblAlgn val="ctr"/>
        <c:lblOffset val="100"/>
        <c:noMultiLvlLbl val="0"/>
      </c:catAx>
      <c:valAx>
        <c:axId val="18973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6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CO" sz="2200" b="1" i="0" u="none" strike="noStrike" kern="1200" spc="0" baseline="0">
                <a:solidFill>
                  <a:srgbClr val="B9193B"/>
                </a:solidFill>
                <a:latin typeface="+mn-lt"/>
                <a:ea typeface="+mn-ea"/>
                <a:cs typeface="+mn-cs"/>
              </a:defRPr>
            </a:pPr>
            <a:r>
              <a:rPr lang="es-CO" sz="2200" b="1" i="0" baseline="0">
                <a:effectLst/>
              </a:rPr>
              <a:t>On-Premise vs. Cloud Comparison</a:t>
            </a:r>
            <a:endParaRPr lang="en-US" sz="2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O" sz="2200" b="1" i="0" u="none" strike="noStrike" kern="1200" spc="0" baseline="0">
              <a:solidFill>
                <a:srgbClr val="B9193B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11830228538506"/>
          <c:y val="0.16767290384630421"/>
          <c:w val="0.70844003683069035"/>
          <c:h val="0.74561912355892224"/>
        </c:manualLayout>
      </c:layout>
      <c:scatterChart>
        <c:scatterStyle val="lineMarker"/>
        <c:varyColors val="0"/>
        <c:ser>
          <c:idx val="0"/>
          <c:order val="0"/>
          <c:tx>
            <c:v>Costs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5866632524592965E-2"/>
                  <c:y val="-5.31216914668189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9C-48B6-A209-CAEA6DB60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graph'!$E$39:$H$39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9C-48B6-A209-CAEA6DB60599}"/>
            </c:ext>
          </c:extLst>
        </c:ser>
        <c:ser>
          <c:idx val="1"/>
          <c:order val="1"/>
          <c:tx>
            <c:strRef>
              <c:f>'To graph'!$C$40:$D$40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graph'!$E$40:$H$40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9C-48B6-A209-CAEA6DB60599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 graph'!$E$44:$E$45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graph'!$C$44:$C$45</c:f>
              <c:numCache>
                <c:formatCode>_-"$"\ * #,##0.00_-;\-"$"\ * #,##0.00_-;_-"$"\ * "-"??_-;_-@_-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9C-48B6-A209-CAEA6DB60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33584"/>
        <c:axId val="615658000"/>
      </c:scatterChart>
      <c:valAx>
        <c:axId val="82813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58000"/>
        <c:crosses val="autoZero"/>
        <c:crossBetween val="midCat"/>
      </c:valAx>
      <c:valAx>
        <c:axId val="61565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400"/>
                  <a:t>TCO  reduction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2200" b="1">
                <a:solidFill>
                  <a:srgbClr val="B9193B"/>
                </a:solidFill>
              </a:rPr>
              <a:t>Capex &amp; Opex Legacy/Cloud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 graph'!$E$29</c:f>
              <c:strCache>
                <c:ptCount val="1"/>
                <c:pt idx="0">
                  <c:v>1  [$]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 graph'!$C$30:$D$33</c:f>
              <c:strCache>
                <c:ptCount val="4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</c:strCache>
            </c:strRef>
          </c:cat>
          <c:val>
            <c:numRef>
              <c:f>'To graph'!$E$30:$E$33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1-42C0-98DB-B096CC49548F}"/>
            </c:ext>
          </c:extLst>
        </c:ser>
        <c:ser>
          <c:idx val="1"/>
          <c:order val="1"/>
          <c:tx>
            <c:strRef>
              <c:f>'To graph'!$F$29</c:f>
              <c:strCache>
                <c:ptCount val="1"/>
                <c:pt idx="0">
                  <c:v>2  [$]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'To graph'!$C$30:$D$33</c:f>
              <c:strCache>
                <c:ptCount val="4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</c:strCache>
            </c:strRef>
          </c:cat>
          <c:val>
            <c:numRef>
              <c:f>'To graph'!$F$30:$F$33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1-42C0-98DB-B096CC49548F}"/>
            </c:ext>
          </c:extLst>
        </c:ser>
        <c:ser>
          <c:idx val="2"/>
          <c:order val="2"/>
          <c:tx>
            <c:strRef>
              <c:f>'To graph'!$G$29</c:f>
              <c:strCache>
                <c:ptCount val="1"/>
                <c:pt idx="0">
                  <c:v>3  [$]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'To graph'!$C$30:$D$33</c:f>
              <c:strCache>
                <c:ptCount val="4"/>
                <c:pt idx="0">
                  <c:v>Capex Legacy</c:v>
                </c:pt>
                <c:pt idx="1">
                  <c:v>Capex Cloud</c:v>
                </c:pt>
                <c:pt idx="2">
                  <c:v>Opex Legacy</c:v>
                </c:pt>
                <c:pt idx="3">
                  <c:v>Opex Cloud</c:v>
                </c:pt>
              </c:strCache>
            </c:strRef>
          </c:cat>
          <c:val>
            <c:numRef>
              <c:f>'To graph'!$G$30:$G$33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A1-42C0-98DB-B096CC49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1986399"/>
        <c:axId val="1117583151"/>
      </c:barChart>
      <c:catAx>
        <c:axId val="901986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83151"/>
        <c:crosses val="autoZero"/>
        <c:auto val="1"/>
        <c:lblAlgn val="ctr"/>
        <c:lblOffset val="100"/>
        <c:noMultiLvlLbl val="0"/>
      </c:catAx>
      <c:valAx>
        <c:axId val="111758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98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solidFill>
                  <a:srgbClr val="C00000"/>
                </a:solidFill>
                <a:effectLst/>
              </a:rPr>
              <a:t>On-Premise vs. Cloud Comparison</a:t>
            </a:r>
            <a:endParaRPr lang="en-US">
              <a:solidFill>
                <a:srgbClr val="C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611830228538506"/>
          <c:y val="0.16767290384630421"/>
          <c:w val="0.70844003683069035"/>
          <c:h val="0.74561912355892224"/>
        </c:manualLayout>
      </c:layout>
      <c:scatterChart>
        <c:scatterStyle val="lineMarker"/>
        <c:varyColors val="0"/>
        <c:ser>
          <c:idx val="0"/>
          <c:order val="0"/>
          <c:tx>
            <c:v>Costs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8.5866632524592965E-2"/>
                  <c:y val="-5.31216914668189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9-43C6-B861-9039387450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graph'!$E$39:$H$39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9-43C6-B861-9039387450B2}"/>
            </c:ext>
          </c:extLst>
        </c:ser>
        <c:ser>
          <c:idx val="1"/>
          <c:order val="1"/>
          <c:tx>
            <c:strRef>
              <c:f>'To graph'!$C$40:$D$40</c:f>
              <c:strCache>
                <c:ptCount val="1"/>
                <c:pt idx="0">
                  <c:v>TCO/ Keep on premise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'To graph'!$E$38:$H$38</c:f>
              <c:strCache>
                <c:ptCount val="4"/>
                <c:pt idx="0">
                  <c:v>0</c:v>
                </c:pt>
                <c:pt idx="1">
                  <c:v>1  [$]</c:v>
                </c:pt>
                <c:pt idx="2">
                  <c:v>2  [$]</c:v>
                </c:pt>
                <c:pt idx="3">
                  <c:v>3  [$]</c:v>
                </c:pt>
              </c:strCache>
            </c:strRef>
          </c:xVal>
          <c:yVal>
            <c:numRef>
              <c:f>'To graph'!$E$40:$H$40</c:f>
              <c:numCache>
                <c:formatCode>_-"$"\ * #,##0.00_-;\-"$"\ * #,##0.00_-;_-"$"\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29-43C6-B861-9039387450B2}"/>
            </c:ext>
          </c:extLst>
        </c:ser>
        <c:ser>
          <c:idx val="2"/>
          <c:order val="2"/>
          <c:tx>
            <c:v>Payback</c:v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 graph'!$E$44:$E$45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 graph'!$C$44:$C$45</c:f>
              <c:numCache>
                <c:formatCode>_-"$"\ * #,##0.00_-;\-"$"\ * #,##0.00_-;_-"$"\ * "-"??_-;_-@_-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629-43C6-B861-903938745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133584"/>
        <c:axId val="615658000"/>
      </c:scatterChart>
      <c:valAx>
        <c:axId val="82813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58000"/>
        <c:crosses val="autoZero"/>
        <c:crossBetween val="midCat"/>
      </c:valAx>
      <c:valAx>
        <c:axId val="61565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Costs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\ * #,##0.00_-;\-&quot;$&quot;\ * #,##0.00_-;_-&quot;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1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1041400</xdr:colOff>
          <xdr:row>18</xdr:row>
          <xdr:rowOff>12700</xdr:rowOff>
        </xdr:from>
        <xdr:to>
          <xdr:col>4</xdr:col>
          <xdr:colOff>469900</xdr:colOff>
          <xdr:row>19</xdr:row>
          <xdr:rowOff>31750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19</xdr:row>
          <xdr:rowOff>12700</xdr:rowOff>
        </xdr:from>
        <xdr:to>
          <xdr:col>4</xdr:col>
          <xdr:colOff>476250</xdr:colOff>
          <xdr:row>20</xdr:row>
          <xdr:rowOff>31750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20</xdr:row>
          <xdr:rowOff>12700</xdr:rowOff>
        </xdr:from>
        <xdr:to>
          <xdr:col>4</xdr:col>
          <xdr:colOff>533400</xdr:colOff>
          <xdr:row>21</xdr:row>
          <xdr:rowOff>31750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1060450</xdr:colOff>
          <xdr:row>21</xdr:row>
          <xdr:rowOff>0</xdr:rowOff>
        </xdr:from>
        <xdr:to>
          <xdr:col>4</xdr:col>
          <xdr:colOff>546100</xdr:colOff>
          <xdr:row>22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22</xdr:row>
          <xdr:rowOff>0</xdr:rowOff>
        </xdr:from>
        <xdr:to>
          <xdr:col>4</xdr:col>
          <xdr:colOff>533400</xdr:colOff>
          <xdr:row>23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38100</xdr:colOff>
      <xdr:row>1</xdr:row>
      <xdr:rowOff>95250</xdr:rowOff>
    </xdr:from>
    <xdr:to>
      <xdr:col>2</xdr:col>
      <xdr:colOff>1933575</xdr:colOff>
      <xdr:row>3</xdr:row>
      <xdr:rowOff>257175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685A-E644-4C73-B8CC-3DE4A164693E}"/>
            </a:ext>
            <a:ext uri="{147F2762-F138-4A5C-976F-8EAC2B608ADB}">
              <a16:predDERef xmlns:a16="http://schemas.microsoft.com/office/drawing/2014/main" pred="{00000000-0008-0000-00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" y="295275"/>
          <a:ext cx="1895475" cy="657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1308100</xdr:colOff>
          <xdr:row>37</xdr:row>
          <xdr:rowOff>222250</xdr:rowOff>
        </xdr:from>
        <xdr:to>
          <xdr:col>4</xdr:col>
          <xdr:colOff>476250</xdr:colOff>
          <xdr:row>38</xdr:row>
          <xdr:rowOff>31750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1308100</xdr:colOff>
          <xdr:row>38</xdr:row>
          <xdr:rowOff>12700</xdr:rowOff>
        </xdr:from>
        <xdr:to>
          <xdr:col>4</xdr:col>
          <xdr:colOff>488950</xdr:colOff>
          <xdr:row>39</xdr:row>
          <xdr:rowOff>31750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1308100</xdr:colOff>
          <xdr:row>39</xdr:row>
          <xdr:rowOff>0</xdr:rowOff>
        </xdr:from>
        <xdr:to>
          <xdr:col>4</xdr:col>
          <xdr:colOff>488950</xdr:colOff>
          <xdr:row>40</xdr:row>
          <xdr:rowOff>19050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1276350</xdr:colOff>
          <xdr:row>64</xdr:row>
          <xdr:rowOff>203200</xdr:rowOff>
        </xdr:from>
        <xdr:to>
          <xdr:col>4</xdr:col>
          <xdr:colOff>444500</xdr:colOff>
          <xdr:row>65</xdr:row>
          <xdr:rowOff>50800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1289050</xdr:colOff>
          <xdr:row>65</xdr:row>
          <xdr:rowOff>12700</xdr:rowOff>
        </xdr:from>
        <xdr:to>
          <xdr:col>4</xdr:col>
          <xdr:colOff>514350</xdr:colOff>
          <xdr:row>66</xdr:row>
          <xdr:rowOff>31750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</xdr:row>
      <xdr:rowOff>47625</xdr:rowOff>
    </xdr:from>
    <xdr:to>
      <xdr:col>2</xdr:col>
      <xdr:colOff>1905000</xdr:colOff>
      <xdr:row>4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E9CC69-8B51-4080-9BED-BC2EE3591170}"/>
            </a:ext>
            <a:ext uri="{147F2762-F138-4A5C-976F-8EAC2B608ADB}">
              <a16:predDERef xmlns:a16="http://schemas.microsoft.com/office/drawing/2014/main" pred="{00000000-0008-0000-01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47650"/>
          <a:ext cx="1895475" cy="6572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225425</xdr:colOff>
      <xdr:row>18</xdr:row>
      <xdr:rowOff>92075</xdr:rowOff>
    </xdr:from>
    <xdr:to>
      <xdr:col>16383</xdr:col>
      <xdr:colOff>263525</xdr:colOff>
      <xdr:row>23</xdr:row>
      <xdr:rowOff>171450</xdr:rowOff>
    </xdr:to>
    <xdr:sp macro="" textlink="">
      <xdr:nvSpPr>
        <xdr:cNvPr id="3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  <a:ext uri="{147F2762-F138-4A5C-976F-8EAC2B608ADB}">
              <a16:predDERef xmlns:a16="http://schemas.microsoft.com/office/drawing/2014/main" pred="{00000000-0008-0000-0200-000003000000}"/>
            </a:ext>
          </a:extLst>
        </xdr:cNvPr>
        <xdr:cNvSpPr/>
      </xdr:nvSpPr>
      <xdr:spPr>
        <a:xfrm>
          <a:off x="8493125" y="4664075"/>
          <a:ext cx="4162425" cy="1555750"/>
        </a:xfrm>
        <a:prstGeom prst="wedgeRectCallout">
          <a:avLst>
            <a:gd name="adj1" fmla="val -55387"/>
            <a:gd name="adj2" fmla="val -13418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900" b="0" i="0" u="none" strike="noStrike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Con estas preguntas, queremos saber cuánto esperas obtener a cambio por cada dólar invertido en la infraestructura que soporta las aplicaciones, y por cada dólar invertido en el desarrollo evolutivo de estas aplicaciones.</a:t>
          </a:r>
          <a:br>
            <a:rPr lang="en-US" sz="900" b="0" i="0" u="none" strike="noStrike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</a:br>
          <a:endParaRPr lang="en-US" sz="900" b="0" i="0" u="none" strike="noStrike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900" b="0" i="0" u="none" strike="noStrike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La primera pregunta es en términos porcentuales y la segunda en términos monetarios.</a:t>
          </a:r>
          <a:br>
            <a:rPr lang="en-US" sz="900" b="0" i="0" u="none" strike="noStrike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</a:br>
          <a:endParaRPr lang="en-US" sz="900" b="0" i="0" u="none" strike="noStrike">
            <a:solidFill>
              <a:schemeClr val="bg2">
                <a:lumMod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marL="0" marR="0" indent="0" algn="l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en-US" sz="900" b="0" i="0" u="none" strike="noStrike">
              <a:solidFill>
                <a:schemeClr val="bg2">
                  <a:lumMod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Estas preguntas son opcionales, por lo que, si no cuentas con esta información, podemos omitirlas para el Business Case.</a:t>
          </a:r>
        </a:p>
      </xdr:txBody>
    </xdr:sp>
    <xdr:clientData/>
  </xdr:twoCellAnchor>
  <xdr:twoCellAnchor editAs="oneCell">
    <xdr:from>
      <xdr:col>2</xdr:col>
      <xdr:colOff>9525</xdr:colOff>
      <xdr:row>1</xdr:row>
      <xdr:rowOff>95250</xdr:rowOff>
    </xdr:from>
    <xdr:to>
      <xdr:col>2</xdr:col>
      <xdr:colOff>1905000</xdr:colOff>
      <xdr:row>3</xdr:row>
      <xdr:rowOff>254000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B659EF-74A8-9006-AAC3-550357EE7E21}"/>
            </a:ext>
            <a:ext uri="{147F2762-F138-4A5C-976F-8EAC2B608ADB}">
              <a16:predDERef xmlns:a16="http://schemas.microsoft.com/office/drawing/2014/main" pre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95275"/>
          <a:ext cx="1895475" cy="6572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107950</xdr:rowOff>
    </xdr:from>
    <xdr:to>
      <xdr:col>2</xdr:col>
      <xdr:colOff>2628900</xdr:colOff>
      <xdr:row>4</xdr:row>
      <xdr:rowOff>6350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04800"/>
          <a:ext cx="2984500" cy="698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36512</xdr:colOff>
      <xdr:row>2</xdr:row>
      <xdr:rowOff>17463</xdr:rowOff>
    </xdr:from>
    <xdr:to>
      <xdr:col>2</xdr:col>
      <xdr:colOff>2618140</xdr:colOff>
      <xdr:row>4</xdr:row>
      <xdr:rowOff>206375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" y="414338"/>
          <a:ext cx="2984853" cy="7921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1</xdr:row>
      <xdr:rowOff>63500</xdr:rowOff>
    </xdr:from>
    <xdr:to>
      <xdr:col>4</xdr:col>
      <xdr:colOff>844550</xdr:colOff>
      <xdr:row>4</xdr:row>
      <xdr:rowOff>165509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260350"/>
          <a:ext cx="2736850" cy="89575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304800</xdr:colOff>
      <xdr:row>7</xdr:row>
      <xdr:rowOff>120650</xdr:rowOff>
    </xdr:to>
    <xdr:sp macro="" textlink="">
      <xdr:nvSpPr>
        <xdr:cNvPr id="12298" name="avatar" descr="data:image/pjpeg;base64,/9j/4AAQSkZJRgABAQEAYABgAAD/2wBDAAEBAQEBAQEBAQEBAQEBAQEBAQEBAQEBAQEBAQEBAQEBAQEBAQEBAQEBAQEBAQEBAQEBAQEBAQEBAQEBAQEBAQH/2wBDAQEBAQEBAQEBAQEBAQEBAQEBAQEBAQEBAQEBAQEBAQEBAQEBAQEBAQEBAQEBAQEBAQEBAQEBAQEBAQEBAQEBAQH/wAARCABAAEADASIAAhEBAxEB/8QAHwAAAQUBAQEBAQEAAAAAAAAAAAECAwQFBgcICQoL/8QAtRAAAgEDAwIEAwUFBAQAAAF9AQIDAAQRBRIhMUEGE1FhByJxFDKBkaEII0KxwRVS0fAkM2JyggkKFhcYGRolJicoKSo0NTY3ODk6Q0RFRkdISUpTVFVWV1hZWmNkZWZnaGlqc3R1dnd4eXqDhIWGh4iJipKTlJWWl5iZmqKjpKWmp6ipqrKztLW2t7i5usLDxMXGx8jJytLT1NXW19jZ2uHi4+Tl5ufo6erx8vP09fb3+Pn6/8QAHwEAAwEBAQEBAQEBAQAAAAAAAAECAwQFBgcICQoL/8QAtREAAgECBAQDBAcFBAQAAQJ3AAECAxEEBSExBhJBUQdhcRMiMoEIFEKRobHBCSMzUvAVYnLRChYkNOEl8RcYGRomJygpKjU2Nzg5OkNERUZHSElKU1RVVldYWVpjZGVmZ2hpanN0dXZ3eHl6goOEhYaHiImKkpOUlZaXmJmaoqOkpaanqKmqsrO0tba3uLm6wsPExcbHyMnK0tPU1dbX2Nna4uPk5ebn6Onq8vP09fb3+Pn6/9oADAMBAAIRAxEAPwD+4Z5JVdx5snDv/Gx/iPuf50gmlB/1kh9t7f40kv8ArZcdPMfn/gR56/5+lfnj/wAFRf2w3/Yg/Y2+J3xl0eW1X4g3MEHgj4VwXaRzQv4/8TxXMOm6hLbyhorqLw3p9tqniiS0mUwXo0VbCXAuxXmVZqlGU5O0Yay+9bd29lruzuw2HqYqvRw1GPNVrVIUqa6Xk0k2+iW8n0Sbex8yf8FKP+C4f7PX/BP3VZfhbpOnXfxx/aG+yxXN18NfDmuQ6To/gyO6iWezk+IPio22prol3dwSJd2egWOmanrM1q0VxfQ6VZ3lleXH4WWH/Byf+3n4y1Sa+8L/AAl/Z90bT5WlTSfDU+ieOfE08rFW8uK+1WLx/oLu6AZaa1it1VlLtbeXuiH8uWpan4j+Ivi7xN468Za1qfiLX/EOq6j4i8Ra5rF5Nfarrms6ldvc3V9qN7cNJPdXl9e3DT3Uszl23TPyVxX1R4B1O28K6HPfR4XUbvT00m0kX79rb3UDS6m9uhwkU0tqYbFZVG/bNc4IMxI+bzPMcTCC+rycZNxUYJ7SurJy6pXvJvZJ26W/YMj4OyiKjHGUI4pqN6lWs3yt2SfJC/LBJ35PtO+snY/o++HX/Bf/APb5afRtR8ZfDX9m/XdC1CWdb6x09PFWk6nbTWc3l3NiurW/je7ttMckMI5LzQtVcKu5UmVWdv31/Yq/4KjfCX9rm/tvAup6TqXwh+Mc1o91beBvEGrQ6rpPiiK3jeW8n8BeLI4NOh8RraRI809hdaZpGsiCO5ubfTruxsru9i/gk8I3s+g6LaanqlvdDQNT1txBeQOUcXZt0k1BbeXICXscEdjcW+crl2kdX3SA++/Dj4m6ra687aNrM/h7x54F1qx1jTdZ0iY6ddSSWt1BPoniW2NsYxFfRzGwu7LXLWOC5ljuEXUk8vzGr55cQ5phK/tKklicLGdqkeW0uRyinKFTmcouDfK73je3Mtbx9/GcAcO5hg3Sw1JZfjXCToV6Um4e0S5oxqUbqlOEt7JRm43cJpqz/wBJMyykf6yT/vtv0560yKaXzY/3kn+sT+Nv7w96+Sv2Hf2hLj9pz9mf4cfFTVlt4vFl1Y3Hh/xzb2qLFBH4w8OTtpur3UMCfLa22tLHbeIbG1Vm+zWGr2sJYshNfWaDE8eP+eif+hD/ADzzX6LhaixNClXoz5qdeEKtNptXjOEZRdlfVp6roz+f8Vha2X4vFYHExUK+Fr1aFaN9FUpTcJpPqrrR7NWa0Y2X/Wyf9dH/APQj9a/jj/4Oi/jw1zqvwK/Z5sLs/ZtB0fV/iX4jtYpP3cuoeI7ttB8PLcpnaLjTbHQNZniBG5bfXkcYWXJ/sT1KdraG/uFXc0Ed1MqnoTEruAenGRzjHGcV/nX/APBZ/XdU+O3/AAUF+MEsM00ui6B4vbwLFcyv5kNlpPw6s7Xwrq2oKyjyxaPdeHdX1dyhEYNzKQoBVR5mb140qFKEnaNSvFz1s1To3rNrv70IJ+p9bwPhHiM2q11Fv6phKk4af8va8oYWC9eStVkuzhdapNfGP7Ln7H3if43+H/7eDf2b4cvLie2j1CW6stPWS60+5a2eKA3rNLOqyLcCWa3s7iGNkEZkeUSxRfrhoP8AwSL8N+NfA8L+G/iReeF/GFqt5Gum+I7jTvEmj3jfYR9hvI9T0Ow0qe2ja7WCGaCSwmlSJLqUNKTCJPxK+KPxr/aX/ZZ+CnwS8Y+D/iJJouk/Ejxh8UbDwd4HsPBng690bSfC/gHxDBb+IJ/EWpa/omu31/4l1fxFrc8UKWk2nQ6VplkJ3SWa9jjtP2w/4JPft+Xn7V+qeMvC+s+HJ/CniTwZq+nrbQG9/tCHVfC2v3V/HoFzPdraWELa5apZNaa99ms7TT7q62anptpp9rejStN/PMz/ALZpQqZiq2Hlgo4hwjGjKXtKUXUVGPtIzhFTvK0JOPPyy20Tkft+CxOU1KkMspwxFDMVh1OUq1On7KtKNJVqkacoVJte4pVIKpGDcF/NaB2nxB/4JmeJ9I/Zr8JeCI9e8Ly/Ebw38UL/AMQXurprHkaFeeFdR8K2VlKiPdWkN411b6rAyWkT2qvsWSSTakiMPgP4hfs5+JvhT/wi3i+8VbXWtBc6F4j1W11Oy1Tw74g0bVbi28P2EUdxaSC603UdON9byiPVbC1truyilngvXuLT7Gv2r/wWe/b78WfsfX3hv4XeAdGstZ+JvjG21K5t7nWVubnQfDOjaW0Frc6nPZWk9pJqupXV7O0OlWhuorSM2lze6iZ4II9Ov/yV+FHxV/aG/an/AGY/ir8TLj4g+Ibpvh7rvgvwJ8WvCfibw54GOgazN46XxJq/hvxT8Ob/AMIeEPBl/wCGZ9NvfDWn6Xe+HNZm8WTvHdPrK64yMljFz4bB5pWw8MbKrh6WCqV5Qcaspe1qKrN06rUIQklGTU1H2kopzSa5fdmaxzTLqNf6hL6ziMc6cK0XQhTVGnLljVoRnKpWpu/vQk1SU7Qk78zTif2g/wDBDrxq4+Hfxe+GF9MYZtM17QfHOnWMrDzmXWtOfw9q8sMeTtis4fD3hmCcAbRdXDHksS37sxH97Gef9YpP/fQyf89PWv44f+CKP7RVw3xg+Hs99cqieKvDeoeF9YUyLGbuG+h0+8DSEkjbps1pBrMjMTi30+dcITx/Y5H/AKxP99f5iv0Tg2tKpk6oVlavgMTXwlTW692bqU2uy5JqC8oH4l4l4COF4mq4qlrQzXC4XH03b7UqUaNVXsrtzpOo/OpYWb/Wy/8AXR//AEI1/nV/8FUPCeu/B/4l/tdwXAD6vL47uIdFvsIzNonjPUo/GMEsUiEx+bNpWspBqMIy0M0TWriNxPEf9FkxPLcSIoOTI/QZ/jP+Nfx6/wDBXn4H6d8Xv2gfFXgOGSJdSk8Ay+K9RCxoJJLvVPHvijUYY5Agy8tpo19ZNHvBZLVoY1Bi2hObihRpYfCYqduXD42k6l7tOk5R9orLe/LHf7Kkranb4bzqSzPMcHTWuKy2ryO3wVaTvSm3dWS55R0d25K21n8I/Aj9l/8AZ7/bb+EfiL4d/EDUNYuPBx+IB+LfgRNM1CLydOsfitoun+MYtS0e4ljkvtAv7TVNU8TeBfEum6Je6Vbajd+EUtfEVlfXmh6a9h+onwB/Yp+Bf7IMHgTSPg7p+kaPpOma2dU1+0n1dY/EPiqW6NvDLq11quv3+o3+qX0cltZRw2c19Hp1vbxva6XBp7TS+d+AHhO9+MX/AATA8Jp4+tPDUHxB+Hni7xbbaR4h0K8u73T7q2trK1ub2zudD12KK9j8P3tlf3uqEJNpuo6TqC61I11p321oLy0/ZP8AZ4/bX/Zk/bG+F8Gv+J/D840vRfEC6XdaP8RfD0TXmh+JbOytbxnstS019U08K9teqLe/s9RtLm6tnkjubO2LTWq/nOaQxkaU69OtWrZO68fZ1FUvThWSikq1Jy9yo5bS5bOLUU/sr9zymnl88XSp4mi8PmU6NWOJWHw0KuJlh6qmpzwzlKlGraL+D21OSaburOT+nf2s/wBiH9mD9u4XMHxasU1K5s5hdaPremaskfiLw5JNJLme21LR7u2uYftoV476xluJ9IvjDCbiyuZ7G0uIPmH4qfsZ/sufsTfsM/FrSfBeu6tpvhvwboerePYodYv4l0uTxii2dtYavfpBHHeeKPFeuXCad4Q8Py+Jb3XJNJj1KTS/DKaXFq+pJfeg/tFftx/AD9kb4V2XifTfDGva5p+ua1/wjvhzRfAuhLAmq+IRpc95Gt9rWryadp8NtBZaeEur9rnUr23t0gS3srrbHBX8/wB8W/j7+0Z/wUr8aeGvB2vi1+HXwbh8SWk+kfDfQbq5vLS51PLw22s+L9amjtbjxXq9hBcSraM1npujaZGZG03R7W9ubu8u98rw+OxNGNepXnQyinUdWdSVT3JOMlKqsPS5venK0oc/LyxXMpS0cXzZjhMvp4iawcK9fMIKnQoRqUKdKpGEYwjSni6ic1BRilP2ca05XUOV2XOfU3/BPS+ufgz4i+APijUNs+jw+KLPw54iuQzGEyW+pvb6ttdMlFvfD98kltMSDLHLI0QYQk1/oU6VK09vZu+fM+WN933i8chjLt6F9gkweRuAOcGv4h/hn8CdF+GV78M/DWuTyah4R8RavowvrBJmtr21k0+W2t9Au7KdY55YLxrfT7iOQxxs08VyiOpWTNf20+EbPWbPw54Yi8QSi41waRpDa1cIMRzas9rA2pPGMnEbXhm8sZJCbQSx5P2fAteVeWcVNOSpiKVWCV7+8qi5pdnKMYxik3pBvqfl3ixh6dP/AFeik+enhcRRlLdTjTlRtGLvryTlUc20v4kEm9eX0KxgRTJIfvNJJg+g3k859Qfzr+Nf9ob4g/8ACa/t+/G7xXYzi60+38bax4P0+HeGh/sDwulr4QEag/cS/wD7Ka+UHAWeUuo+ZiP65dL8F6lZ6v4w1ew1K7t73xTNHNc3Lap4ivxDJptwqaRHZ6HqepXegaVHBpivZ3baJaaYuoO4n1CG8kAK/wAh37Qvij4Z/DT48+P/AAnZ/Dq0s9ZttH+Gkmp66brVl1fSfH1/4T0jW/Hmm6jExQX0uneINV8QaZcyzs4vby3s7uYP5Clo4xxeMrUcNhsPkeaVsNOrGNfFTnlmHjSqNOE26E8yliKtOi37RVKFOp7Wm1KKjVjKjHLwooUI5pmU54ihUxP1NKjTpe2mlRdaEpzc3SpxjKVqceR6qSnvG05eF/8ABQbVPCFz8BLP4Mzaat7qfje9h1JfLaJZ9M0fTLu0ury8SSSKUW9zfzRW+mWriN/3cN9Jw8YrA/4J32P7I3hz4SSfDdNWtfCWvt4iOua7aa897dw6hrLJHbS3Sao4uhbFrWGGIadqM1pNb+X5dst3brHdS+T/ALUfirw9rN9JrskEp1LTfDmk3kE8YmdLrTriSa0ms54WDCK5s7pY7i2lhCiSCW7S5w8NsW/MjwH4S1nxz8SdIv8AS9P1m00q88Q2dnqOs2Czwf2daSXUS3cs0sZWSIxW7tMqvgvhdgYMpKyrh3BZlkFDA4hYmMp11iKkqUuSbq2Xs7xcakJ0vZOm3GcLqcbtwnGSX7vicNhqUMNjaOIp0MbKNSE5z5ZONKcoy9x8ylG2y5HFu84NO9l+y/8AwWR1r4X638OP2dPgt8NxaarLpnijW/Gep65YpPBYpJqGmR6Da2MJkgiW8kWMTXdxPEXS2gEaxFzcSmLyf9j34SaL4Oh03VZYYZ/Ek1g/9iWUij7PoumSxsLzxBqzY/dyXEIldQ2GEGBDHuit528C+Lvww1/w4NFvdU0zWJoINVvrHTNfvxNONUtrTzYoLi1llZnmSSCVLlRn5EkXcEORXs+keKNY8P8AhrT9F0qK6g1jxY1rJqV2qSrM9u7RiOAyFC0Gm6dAiLHax7YtyRo/mNHGV87PMsqYOnSynBOcaNNJNVXHmtJJy5mowiotK94rrbW7ZyU8BRwdadsVHFyqRVaWITvzSqWm+stVfla5rK3Lpay/T3wp4Nm+LXxc+CWh+HozfhfFtqtuWQBbqWw1G0ie5k/hj8z7ZPdQHaUgXyjhVjyP67Et1eztATl444DuHdlVd3X3yMHJUZHWv5AfhB4p1/4a+E9P8faDbTt4p8P6h4cXwfE0ciy3msXGsWM0lsny7maTT7KYsi5Z3Xy8Hcc/2FQxSxWsIkRg6xRB8qeX2rvz9WznkjnrXscB0vY0Myi9Wq9GK2tyqFSzVuvM5rezSXa5+LeL/tI4vJbOPsVRxsY2d6ntOfDyq817rl5J0eV2+Lm8j//Z">
          <a:extLst>
            <a:ext uri="{FF2B5EF4-FFF2-40B4-BE49-F238E27FC236}">
              <a16:creationId xmlns:a16="http://schemas.microsoft.com/office/drawing/2014/main" id="{00000000-0008-0000-0600-00000A300000}"/>
            </a:ext>
          </a:extLst>
        </xdr:cNvPr>
        <xdr:cNvSpPr>
          <a:spLocks noChangeAspect="1" noChangeArrowheads="1"/>
        </xdr:cNvSpPr>
      </xdr:nvSpPr>
      <xdr:spPr bwMode="auto">
        <a:xfrm>
          <a:off x="6115050" y="14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206374</xdr:colOff>
      <xdr:row>40</xdr:row>
      <xdr:rowOff>161924</xdr:rowOff>
    </xdr:from>
    <xdr:to>
      <xdr:col>9</xdr:col>
      <xdr:colOff>609599</xdr:colOff>
      <xdr:row>56</xdr:row>
      <xdr:rowOff>171449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615950</xdr:colOff>
      <xdr:row>59</xdr:row>
      <xdr:rowOff>0</xdr:rowOff>
    </xdr:from>
    <xdr:to>
      <xdr:col>10</xdr:col>
      <xdr:colOff>288213</xdr:colOff>
      <xdr:row>81</xdr:row>
      <xdr:rowOff>62219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0.29144</cdr:x>
      <cdr:y>0.15741</cdr:y>
    </cdr:from>
    <cdr:to>
      <cdr:x>0.56768</cdr:x>
      <cdr:y>0.23611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6CCDA41-8599-4D29-824E-C778B1387B96}"/>
            </a:ext>
          </a:extLst>
        </cdr:cNvPr>
        <cdr:cNvSpPr txBox="1"/>
      </cdr:nvSpPr>
      <cdr:spPr>
        <a:xfrm xmlns:a="http://schemas.openxmlformats.org/drawingml/2006/main">
          <a:off x="1339850" y="431801"/>
          <a:ext cx="1270000" cy="215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0.29453</cdr:x>
      <cdr:y>0.08542</cdr:y>
    </cdr:from>
    <cdr:to>
      <cdr:x>0.54867</cdr:x>
      <cdr:y>0.16412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EE93AB8-E24A-4663-AAD9-1AD3AFB49422}"/>
            </a:ext>
          </a:extLst>
        </cdr:cNvPr>
        <cdr:cNvSpPr txBox="1"/>
      </cdr:nvSpPr>
      <cdr:spPr>
        <a:xfrm xmlns:a="http://schemas.openxmlformats.org/drawingml/2006/main">
          <a:off x="1967010" y="266992"/>
          <a:ext cx="1697266" cy="2459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rgbClr val="FF0000"/>
              </a:solidFill>
            </a:rPr>
            <a:t>Investment (P1)</a:t>
          </a:r>
        </a:p>
      </cdr:txBody>
    </cdr:sp>
  </cdr:relSizeAnchor>
  <cdr:relSizeAnchor xmlns:cdr="http://schemas.openxmlformats.org/drawingml/2006/chartDrawing">
    <cdr:from>
      <cdr:x>0.76207</cdr:x>
      <cdr:y>0.64583</cdr:y>
    </cdr:from>
    <cdr:to>
      <cdr:x>1</cdr:x>
      <cdr:y>0.89987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C838946-AE96-4497-8F95-2980044EA4B6}"/>
            </a:ext>
          </a:extLst>
        </cdr:cNvPr>
        <cdr:cNvSpPr txBox="1"/>
      </cdr:nvSpPr>
      <cdr:spPr>
        <a:xfrm xmlns:a="http://schemas.openxmlformats.org/drawingml/2006/main">
          <a:off x="5658837" y="2584069"/>
          <a:ext cx="1766776" cy="1016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rgbClr val="FF0000"/>
              </a:solidFill>
            </a:rPr>
            <a:t>Optimized</a:t>
          </a:r>
          <a:r>
            <a:rPr lang="es-CO" sz="900" baseline="0">
              <a:solidFill>
                <a:srgbClr val="FF0000"/>
              </a:solidFill>
            </a:rPr>
            <a:t> TCO Azure (Re-Architect) Migration P2 -  DevOps, Apps modernization and other Business Value</a:t>
          </a:r>
          <a:endParaRPr lang="es-CO" sz="9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0.34339</cdr:x>
      <cdr:y>0.51594</cdr:y>
    </cdr:from>
    <cdr:to>
      <cdr:x>0.54501</cdr:x>
      <cdr:y>0.69667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6ACBBC0-DFE6-427F-88F3-61AD8C6F616B}"/>
            </a:ext>
          </a:extLst>
        </cdr:cNvPr>
        <cdr:cNvSpPr txBox="1"/>
      </cdr:nvSpPr>
      <cdr:spPr>
        <a:xfrm xmlns:a="http://schemas.openxmlformats.org/drawingml/2006/main">
          <a:off x="2549903" y="2064372"/>
          <a:ext cx="1497152" cy="723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9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9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900">
            <a:solidFill>
              <a:srgbClr val="FF0000"/>
            </a:solidFill>
            <a:effectLst/>
          </a:endParaRPr>
        </a:p>
        <a:p xmlns:a="http://schemas.openxmlformats.org/drawingml/2006/main">
          <a:r>
            <a:rPr lang="es-CO" sz="9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9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9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900">
            <a:solidFill>
              <a:srgbClr val="FF0000"/>
            </a:solidFill>
            <a:effectLst/>
          </a:endParaRPr>
        </a:p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0.82352</cdr:x>
      <cdr:y>0.18959</cdr:y>
    </cdr:from>
    <cdr:to>
      <cdr:x>1</cdr:x>
      <cdr:y>0.28911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A6C9CF6F-1E88-48F5-A660-08BDA89D4F1F}"/>
            </a:ext>
          </a:extLst>
        </cdr:cNvPr>
        <cdr:cNvSpPr txBox="1"/>
      </cdr:nvSpPr>
      <cdr:spPr>
        <a:xfrm xmlns:a="http://schemas.openxmlformats.org/drawingml/2006/main">
          <a:off x="6115141" y="758561"/>
          <a:ext cx="1310472" cy="398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rgbClr val="FF0000"/>
              </a:solidFill>
            </a:rPr>
            <a:t>TCO/Keep</a:t>
          </a:r>
          <a:r>
            <a:rPr lang="es-CO" sz="900" baseline="0">
              <a:solidFill>
                <a:srgbClr val="FF0000"/>
              </a:solidFill>
            </a:rPr>
            <a:t> On Premise</a:t>
          </a:r>
          <a:endParaRPr lang="es-CO" sz="900">
            <a:solidFill>
              <a:srgbClr val="FF0000"/>
            </a:solidFill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303036</xdr:colOff>
      <xdr:row>9</xdr:row>
      <xdr:rowOff>43038</xdr:rowOff>
    </xdr:from>
    <xdr:to>
      <xdr:col>14</xdr:col>
      <xdr:colOff>557388</xdr:colOff>
      <xdr:row>38</xdr:row>
      <xdr:rowOff>63500</xdr:rowOff>
    </xdr:to>
    <xdr:graphicFrame macro="">
      <xdr:nvGraphicFramePr>
        <xdr:cNvPr id="2" name="Graph_Cost_1_year_Legacy_Clou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418922</xdr:colOff>
      <xdr:row>9</xdr:row>
      <xdr:rowOff>19668</xdr:rowOff>
    </xdr:from>
    <xdr:to>
      <xdr:col>29</xdr:col>
      <xdr:colOff>437444</xdr:colOff>
      <xdr:row>37</xdr:row>
      <xdr:rowOff>35278</xdr:rowOff>
    </xdr:to>
    <xdr:graphicFrame macro="">
      <xdr:nvGraphicFramePr>
        <xdr:cNvPr id="3" name="Graph_cost_2_year_Legacy_cloud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300330</xdr:colOff>
      <xdr:row>40</xdr:row>
      <xdr:rowOff>118533</xdr:rowOff>
    </xdr:from>
    <xdr:to>
      <xdr:col>14</xdr:col>
      <xdr:colOff>444500</xdr:colOff>
      <xdr:row>68</xdr:row>
      <xdr:rowOff>42332</xdr:rowOff>
    </xdr:to>
    <xdr:graphicFrame macro="">
      <xdr:nvGraphicFramePr>
        <xdr:cNvPr id="4" name="Graph_cost_3_year_Legacy_cloud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244020</xdr:colOff>
      <xdr:row>2</xdr:row>
      <xdr:rowOff>82550</xdr:rowOff>
    </xdr:from>
    <xdr:to>
      <xdr:col>5</xdr:col>
      <xdr:colOff>180520</xdr:colOff>
      <xdr:row>4</xdr:row>
      <xdr:rowOff>244928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020" y="445407"/>
          <a:ext cx="2975429" cy="761092"/>
        </a:xfrm>
        <a:prstGeom prst="rect">
          <a:avLst/>
        </a:prstGeom>
      </xdr:spPr>
    </xdr:pic>
    <xdr:clientData/>
  </xdr:twoCellAnchor>
  <xdr:twoCellAnchor>
    <xdr:from>
      <xdr:col>1</xdr:col>
      <xdr:colOff>125335</xdr:colOff>
      <xdr:row>80</xdr:row>
      <xdr:rowOff>85046</xdr:rowOff>
    </xdr:from>
    <xdr:to>
      <xdr:col>17</xdr:col>
      <xdr:colOff>299357</xdr:colOff>
      <xdr:row>108</xdr:row>
      <xdr:rowOff>136072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365654</xdr:colOff>
      <xdr:row>40</xdr:row>
      <xdr:rowOff>24341</xdr:rowOff>
    </xdr:from>
    <xdr:to>
      <xdr:col>32</xdr:col>
      <xdr:colOff>317500</xdr:colOff>
      <xdr:row>70</xdr:row>
      <xdr:rowOff>148165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384176</xdr:colOff>
      <xdr:row>73</xdr:row>
      <xdr:rowOff>71211</xdr:rowOff>
    </xdr:from>
    <xdr:to>
      <xdr:col>24</xdr:col>
      <xdr:colOff>416078</xdr:colOff>
      <xdr:row>78</xdr:row>
      <xdr:rowOff>154063</xdr:rowOff>
    </xdr:to>
    <xdr:sp macro="" textlink="">
      <xdr:nvSpPr>
        <xdr:cNvPr id="8" name="Speech Bubble: 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0793640" y="13637532"/>
          <a:ext cx="4331759" cy="967317"/>
        </a:xfrm>
        <a:prstGeom prst="wedgeRectCallou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This chart represents a comparison between legacy and cloud.</a:t>
          </a:r>
        </a:p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The blue line means the savings you have (total legacy-total cloud) per year.</a:t>
          </a: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  <a:p>
          <a:pPr algn="l"/>
          <a:r>
            <a:rPr lang="en-US" sz="1100">
              <a:solidFill>
                <a:schemeClr val="bg2">
                  <a:lumMod val="25000"/>
                </a:schemeClr>
              </a:solidFill>
            </a:rPr>
            <a:t>Adjust chart labels if necessary before exporting a powerpoint</a:t>
          </a: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  <a:p>
          <a:pPr algn="l"/>
          <a:endParaRPr lang="en-US" sz="110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0.29144</cdr:x>
      <cdr:y>0.15741</cdr:y>
    </cdr:from>
    <cdr:to>
      <cdr:x>0.56768</cdr:x>
      <cdr:y>0.23611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6CCDA41-8599-4D29-824E-C778B1387B96}"/>
            </a:ext>
          </a:extLst>
        </cdr:cNvPr>
        <cdr:cNvSpPr txBox="1"/>
      </cdr:nvSpPr>
      <cdr:spPr>
        <a:xfrm xmlns:a="http://schemas.openxmlformats.org/drawingml/2006/main">
          <a:off x="1339850" y="431801"/>
          <a:ext cx="1270000" cy="215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0.29548</cdr:x>
      <cdr:y>0.13927</cdr:y>
    </cdr:from>
    <cdr:to>
      <cdr:x>0.54962</cdr:x>
      <cdr:y>0.21797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EE93AB8-E24A-4663-AAD9-1AD3AFB49422}"/>
            </a:ext>
          </a:extLst>
        </cdr:cNvPr>
        <cdr:cNvSpPr txBox="1"/>
      </cdr:nvSpPr>
      <cdr:spPr>
        <a:xfrm xmlns:a="http://schemas.openxmlformats.org/drawingml/2006/main">
          <a:off x="2826493" y="656893"/>
          <a:ext cx="2431058" cy="3711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100" b="1">
              <a:solidFill>
                <a:schemeClr val="accent5"/>
              </a:solidFill>
            </a:rPr>
            <a:t>Cloud</a:t>
          </a:r>
          <a:r>
            <a:rPr lang="es-CO" sz="1100" b="1" baseline="0">
              <a:solidFill>
                <a:schemeClr val="accent5"/>
              </a:solidFill>
            </a:rPr>
            <a:t> cost 1st year</a:t>
          </a:r>
          <a:endParaRPr lang="es-CO" sz="1100" b="1">
            <a:solidFill>
              <a:schemeClr val="accent5"/>
            </a:solidFill>
          </a:endParaRPr>
        </a:p>
      </cdr:txBody>
    </cdr:sp>
  </cdr:relSizeAnchor>
  <cdr:relSizeAnchor xmlns:cdr="http://schemas.openxmlformats.org/drawingml/2006/chartDrawing">
    <cdr:from>
      <cdr:x>0.76207</cdr:x>
      <cdr:y>0.60731</cdr:y>
    </cdr:from>
    <cdr:to>
      <cdr:x>1</cdr:x>
      <cdr:y>0.86135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C838946-AE96-4497-8F95-2980044EA4B6}"/>
            </a:ext>
          </a:extLst>
        </cdr:cNvPr>
        <cdr:cNvSpPr txBox="1"/>
      </cdr:nvSpPr>
      <cdr:spPr>
        <a:xfrm xmlns:a="http://schemas.openxmlformats.org/drawingml/2006/main">
          <a:off x="7289826" y="2864436"/>
          <a:ext cx="2275996" cy="11982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200">
              <a:solidFill>
                <a:schemeClr val="accent2"/>
              </a:solidFill>
            </a:rPr>
            <a:t>Optimized</a:t>
          </a:r>
          <a:r>
            <a:rPr lang="es-CO" sz="1200" baseline="0">
              <a:solidFill>
                <a:schemeClr val="accent2"/>
              </a:solidFill>
            </a:rPr>
            <a:t> TCO Azure (Re-Architect) Migration P2 -  DevOps, Apps modernization and other Business Value</a:t>
          </a:r>
          <a:endParaRPr lang="es-CO" sz="1200">
            <a:solidFill>
              <a:schemeClr val="accent2"/>
            </a:solidFill>
          </a:endParaRPr>
        </a:p>
      </cdr:txBody>
    </cdr:sp>
  </cdr:relSizeAnchor>
  <cdr:relSizeAnchor xmlns:cdr="http://schemas.openxmlformats.org/drawingml/2006/chartDrawing">
    <cdr:from>
      <cdr:x>0.32629</cdr:x>
      <cdr:y>0.47468</cdr:y>
    </cdr:from>
    <cdr:to>
      <cdr:x>0.52791</cdr:x>
      <cdr:y>0.65541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6ACBBC0-DFE6-427F-88F3-61AD8C6F616B}"/>
            </a:ext>
          </a:extLst>
        </cdr:cNvPr>
        <cdr:cNvSpPr txBox="1"/>
      </cdr:nvSpPr>
      <cdr:spPr>
        <a:xfrm xmlns:a="http://schemas.openxmlformats.org/drawingml/2006/main">
          <a:off x="1911351" y="1517650"/>
          <a:ext cx="1181100" cy="577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12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2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2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1200">
            <a:solidFill>
              <a:schemeClr val="accent2"/>
            </a:solidFill>
            <a:effectLst/>
          </a:endParaRPr>
        </a:p>
        <a:p xmlns:a="http://schemas.openxmlformats.org/drawingml/2006/main">
          <a:r>
            <a:rPr lang="es-CO" sz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12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12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12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1200">
            <a:solidFill>
              <a:schemeClr val="accent2"/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/>
            </a:solidFill>
          </a:endParaRPr>
        </a:p>
      </cdr:txBody>
    </cdr:sp>
  </cdr:relSizeAnchor>
  <cdr:relSizeAnchor xmlns:cdr="http://schemas.openxmlformats.org/drawingml/2006/chartDrawing">
    <cdr:from>
      <cdr:x>0.81783</cdr:x>
      <cdr:y>0.18881</cdr:y>
    </cdr:from>
    <cdr:to>
      <cdr:x>0.99431</cdr:x>
      <cdr:y>0.28833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A6C9CF6F-1E88-48F5-A660-08BDA89D4F1F}"/>
            </a:ext>
          </a:extLst>
        </cdr:cNvPr>
        <cdr:cNvSpPr txBox="1"/>
      </cdr:nvSpPr>
      <cdr:spPr>
        <a:xfrm xmlns:a="http://schemas.openxmlformats.org/drawingml/2006/main">
          <a:off x="7823218" y="890523"/>
          <a:ext cx="1688176" cy="4693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CO" sz="1200">
              <a:solidFill>
                <a:schemeClr val="accent2"/>
              </a:solidFill>
            </a:rPr>
            <a:t>TCO/Keep</a:t>
          </a:r>
          <a:r>
            <a:rPr lang="es-CO" sz="1200" baseline="0">
              <a:solidFill>
                <a:schemeClr val="accent2"/>
              </a:solidFill>
            </a:rPr>
            <a:t> On Premise</a:t>
          </a:r>
          <a:endParaRPr lang="es-CO" sz="1200">
            <a:solidFill>
              <a:schemeClr val="accent2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49633</xdr:colOff>
      <xdr:row>23</xdr:row>
      <xdr:rowOff>179080</xdr:rowOff>
    </xdr:from>
    <xdr:to>
      <xdr:col>13</xdr:col>
      <xdr:colOff>1023646</xdr:colOff>
      <xdr:row>41</xdr:row>
      <xdr:rowOff>133349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393700</xdr:colOff>
      <xdr:row>1</xdr:row>
      <xdr:rowOff>57150</xdr:rowOff>
    </xdr:from>
    <xdr:to>
      <xdr:col>2</xdr:col>
      <xdr:colOff>2598914</xdr:colOff>
      <xdr:row>4</xdr:row>
      <xdr:rowOff>201558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700" y="254000"/>
          <a:ext cx="2983089" cy="877833"/>
        </a:xfrm>
        <a:prstGeom prst="rect">
          <a:avLst/>
        </a:prstGeom>
      </xdr:spPr>
    </xdr:pic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0.29144</cdr:x>
      <cdr:y>0.15741</cdr:y>
    </cdr:from>
    <cdr:to>
      <cdr:x>0.56768</cdr:x>
      <cdr:y>0.23611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6CCDA41-8599-4D29-824E-C778B1387B96}"/>
            </a:ext>
          </a:extLst>
        </cdr:cNvPr>
        <cdr:cNvSpPr txBox="1"/>
      </cdr:nvSpPr>
      <cdr:spPr>
        <a:xfrm xmlns:a="http://schemas.openxmlformats.org/drawingml/2006/main">
          <a:off x="1339850" y="431801"/>
          <a:ext cx="1270000" cy="215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CO" sz="1100"/>
        </a:p>
      </cdr:txBody>
    </cdr:sp>
  </cdr:relSizeAnchor>
  <cdr:relSizeAnchor xmlns:cdr="http://schemas.openxmlformats.org/drawingml/2006/chartDrawing">
    <cdr:from>
      <cdr:x>0.29453</cdr:x>
      <cdr:y>0.15025</cdr:y>
    </cdr:from>
    <cdr:to>
      <cdr:x>0.54867</cdr:x>
      <cdr:y>0.22895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EE93AB8-E24A-4663-AAD9-1AD3AFB49422}"/>
            </a:ext>
          </a:extLst>
        </cdr:cNvPr>
        <cdr:cNvSpPr txBox="1"/>
      </cdr:nvSpPr>
      <cdr:spPr>
        <a:xfrm xmlns:a="http://schemas.openxmlformats.org/drawingml/2006/main">
          <a:off x="2187032" y="618063"/>
          <a:ext cx="1887145" cy="3237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 b="1">
              <a:solidFill>
                <a:schemeClr val="accent1"/>
              </a:solidFill>
            </a:rPr>
            <a:t>Total</a:t>
          </a:r>
          <a:r>
            <a:rPr lang="es-CO" sz="900" b="1" baseline="0">
              <a:solidFill>
                <a:schemeClr val="accent1"/>
              </a:solidFill>
            </a:rPr>
            <a:t> cloud cost 1st year</a:t>
          </a:r>
          <a:endParaRPr lang="es-CO" sz="900" b="1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0.71162</cdr:x>
      <cdr:y>0.62576</cdr:y>
    </cdr:from>
    <cdr:to>
      <cdr:x>0.94955</cdr:x>
      <cdr:y>0.8798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C838946-AE96-4497-8F95-2980044EA4B6}"/>
            </a:ext>
          </a:extLst>
        </cdr:cNvPr>
        <cdr:cNvSpPr txBox="1"/>
      </cdr:nvSpPr>
      <cdr:spPr>
        <a:xfrm xmlns:a="http://schemas.openxmlformats.org/drawingml/2006/main">
          <a:off x="5284187" y="2574084"/>
          <a:ext cx="1766776" cy="1044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chemeClr val="accent2"/>
              </a:solidFill>
            </a:rPr>
            <a:t>Optimized</a:t>
          </a:r>
          <a:r>
            <a:rPr lang="es-CO" sz="900" baseline="0">
              <a:solidFill>
                <a:schemeClr val="accent2"/>
              </a:solidFill>
            </a:rPr>
            <a:t> TCO Azure (Re-Architect) Migration P2 -  DevOps, Apps modernization and other Business Value</a:t>
          </a:r>
          <a:endParaRPr lang="es-CO" sz="900">
            <a:solidFill>
              <a:schemeClr val="accent2"/>
            </a:solidFill>
          </a:endParaRPr>
        </a:p>
      </cdr:txBody>
    </cdr:sp>
  </cdr:relSizeAnchor>
  <cdr:relSizeAnchor xmlns:cdr="http://schemas.openxmlformats.org/drawingml/2006/chartDrawing">
    <cdr:from>
      <cdr:x>0.34339</cdr:x>
      <cdr:y>0.51594</cdr:y>
    </cdr:from>
    <cdr:to>
      <cdr:x>0.54501</cdr:x>
      <cdr:y>0.69667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6ACBBC0-DFE6-427F-88F3-61AD8C6F616B}"/>
            </a:ext>
          </a:extLst>
        </cdr:cNvPr>
        <cdr:cNvSpPr txBox="1"/>
      </cdr:nvSpPr>
      <cdr:spPr>
        <a:xfrm xmlns:a="http://schemas.openxmlformats.org/drawingml/2006/main">
          <a:off x="2549903" y="2064372"/>
          <a:ext cx="1497152" cy="723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Optimized</a:t>
          </a:r>
          <a:r>
            <a:rPr lang="es-CO" sz="9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9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TCO</a:t>
          </a:r>
          <a:r>
            <a:rPr lang="es-CO" sz="9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9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Azure</a:t>
          </a:r>
          <a:endParaRPr lang="es-CO" sz="900">
            <a:solidFill>
              <a:schemeClr val="accent2"/>
            </a:solidFill>
            <a:effectLst/>
          </a:endParaRPr>
        </a:p>
        <a:p xmlns:a="http://schemas.openxmlformats.org/drawingml/2006/main">
          <a:r>
            <a:rPr lang="es-CO" sz="9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s-CO" sz="9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re-host</a:t>
          </a:r>
          <a:r>
            <a:rPr lang="es-CO" sz="9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/</a:t>
          </a:r>
          <a:r>
            <a:rPr lang="es-CO" sz="90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replatform</a:t>
          </a:r>
          <a:r>
            <a:rPr lang="es-CO" sz="900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)</a:t>
          </a:r>
          <a:endParaRPr lang="es-CO" sz="900">
            <a:solidFill>
              <a:schemeClr val="accent2"/>
            </a:solidFill>
            <a:effectLst/>
          </a:endParaRPr>
        </a:p>
        <a:p xmlns:a="http://schemas.openxmlformats.org/drawingml/2006/main">
          <a:endParaRPr lang="es-CO" sz="1100">
            <a:solidFill>
              <a:schemeClr val="accent2"/>
            </a:solidFill>
          </a:endParaRPr>
        </a:p>
      </cdr:txBody>
    </cdr:sp>
  </cdr:relSizeAnchor>
  <cdr:relSizeAnchor xmlns:cdr="http://schemas.openxmlformats.org/drawingml/2006/chartDrawing">
    <cdr:from>
      <cdr:x>0.82352</cdr:x>
      <cdr:y>0.18959</cdr:y>
    </cdr:from>
    <cdr:to>
      <cdr:x>1</cdr:x>
      <cdr:y>0.28911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A6C9CF6F-1E88-48F5-A660-08BDA89D4F1F}"/>
            </a:ext>
          </a:extLst>
        </cdr:cNvPr>
        <cdr:cNvSpPr txBox="1"/>
      </cdr:nvSpPr>
      <cdr:spPr>
        <a:xfrm xmlns:a="http://schemas.openxmlformats.org/drawingml/2006/main">
          <a:off x="6115141" y="758561"/>
          <a:ext cx="1310472" cy="398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s-CO" sz="900">
              <a:solidFill>
                <a:schemeClr val="accent2"/>
              </a:solidFill>
            </a:rPr>
            <a:t>TCO/Keep</a:t>
          </a:r>
          <a:r>
            <a:rPr lang="es-CO" sz="900" baseline="0">
              <a:solidFill>
                <a:schemeClr val="accent2"/>
              </a:solidFill>
            </a:rPr>
            <a:t> On Premise</a:t>
          </a:r>
          <a:endParaRPr lang="es-CO" sz="900">
            <a:solidFill>
              <a:schemeClr val="accent2"/>
            </a:solidFill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192314</xdr:colOff>
      <xdr:row>2</xdr:row>
      <xdr:rowOff>139700</xdr:rowOff>
    </xdr:from>
    <xdr:to>
      <xdr:col>4</xdr:col>
      <xdr:colOff>332014</xdr:colOff>
      <xdr:row>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314" y="508000"/>
          <a:ext cx="3016250" cy="79375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12</xdr:row>
      <xdr:rowOff>177800</xdr:rowOff>
    </xdr:from>
    <xdr:to>
      <xdr:col>3</xdr:col>
      <xdr:colOff>1104900</xdr:colOff>
      <xdr:row>14</xdr:row>
      <xdr:rowOff>114300</xdr:rowOff>
    </xdr:to>
    <xdr:sp macro="[0]!CopyValuestToOther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584200" y="3016250"/>
          <a:ext cx="2089150" cy="304800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100"/>
            <a:t>Preparate data </a:t>
          </a:r>
          <a:r>
            <a:rPr lang="es-CO" sz="1100" baseline="0"/>
            <a:t>to consolidated </a:t>
          </a:r>
          <a:endParaRPr lang="es-C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3D18BC-2257-4CBB-B7B5-CF0A1DDB5D1C}" name="Table_It_Salary_Cost" displayName="Table_It_Salary_Cost" ref="C52:E58" totalsRowShown="0" headerRowDxfId="116">
  <autoFilter ref="C52:E58" xr:uid="{7229F515-9822-4262-ABF4-D4B20AF848B8}"/>
  <tableColumns count="3">
    <tableColumn id="1" xr3:uid="{E199FAD9-E0D9-4605-A33C-EEF30D57EEA4}" name="IT salary " dataDxfId="115"/>
    <tableColumn id="2" xr3:uid="{70E500C2-3095-46A4-8B5D-5E3A0279BB98}" name="Formula" dataDxfId="114"/>
    <tableColumn id="3" xr3:uid="{476BE944-2E74-40D9-9144-6C2AF3D394FF}" name="Annual costs [$]" dataDxfId="1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D3FFE6-3338-459B-9AAB-029610EDDE5E}" name="Table_Business_Costs" displayName="Table_Business_Costs" ref="C93:E105" totalsRowShown="0" headerRowDxfId="112">
  <autoFilter ref="C93:E105" xr:uid="{3A41997F-DD68-4FCF-B5BD-507DE5A4FDA9}"/>
  <tableColumns count="3">
    <tableColumn id="1" xr3:uid="{2026BB1A-1A1F-44CF-8E8B-E54F94A4471A}" name="Slow &amp; Shut down application costs" dataDxfId="111"/>
    <tableColumn id="2" xr3:uid="{25193192-25B6-4E92-96BD-424120E38541}" name="Formula" dataDxfId="110"/>
    <tableColumn id="3" xr3:uid="{EC606555-754D-4448-A194-E70D265A0A14}" name="Monthly Costs [$]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3E04F5-3D1B-4D67-A563-89EB4098A24F}" name="Table_Summary_Legacy_Costs" displayName="Table_Summary_Legacy_Costs" ref="C110:G121" totalsRowShown="0" headerRowDxfId="109" tableBorderDxfId="108">
  <autoFilter ref="C110:G121" xr:uid="{2FD86A71-057E-4FB2-AD59-4960F790189C}"/>
  <tableColumns count="5">
    <tableColumn id="1" xr3:uid="{ECAB0B26-401A-4F68-A33C-16EBAE2D0F88}" name="Costs\Years" dataDxfId="107"/>
    <tableColumn id="2" xr3:uid="{4BC91397-435D-4CB4-848C-EC42A32E4367}" name="Formula" dataDxfId="106"/>
    <tableColumn id="3" xr3:uid="{7E374B00-E7BE-42D9-A79B-4050BCF86613}" name="1 [$]" dataDxfId="105"/>
    <tableColumn id="4" xr3:uid="{90FC87A2-736E-48AD-AC93-95C560771B8C}" name="2 [$]" dataDxfId="104"/>
    <tableColumn id="5" xr3:uid="{66BCD9FF-F3A7-4038-8227-5E0CA8AE7E3C}" name="3 [$]" dataDxfId="10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88D6B70-1F40-4DD5-BB1F-CE621472A5EE}" name="Table_Saving_Earning_ROI_by_years" displayName="Table_Saving_Earning_ROI_by_years" ref="C143:G146" totalsRowShown="0">
  <autoFilter ref="C143:G146" xr:uid="{9433DB65-04EC-4BB3-9F50-3E9954D79302}"/>
  <tableColumns count="5">
    <tableColumn id="1" xr3:uid="{4D1BF73A-2A38-441B-861E-24381E1DD967}" name="  Savings\Years" dataDxfId="102"/>
    <tableColumn id="2" xr3:uid="{D5F47E2A-1BA5-4F6C-92CF-01CFCBC0B5F1}" name="Formula" dataDxfId="101"/>
    <tableColumn id="3" xr3:uid="{699B1D1A-4438-48A0-B2FB-4D16C77154CB}" name="1" dataDxfId="100">
      <calculatedColumnFormula>(#REF!-#REF!)/#REF!</calculatedColumnFormula>
    </tableColumn>
    <tableColumn id="4" xr3:uid="{B5349E50-424B-427E-992B-12CA1D32D0CA}" name="2" dataDxfId="99">
      <calculatedColumnFormula>(#REF!-#REF!)/#REF!</calculatedColumnFormula>
    </tableColumn>
    <tableColumn id="5" xr3:uid="{03A58A4D-D3AC-44DA-B4CE-9E882396C101}" name="3" dataDxfId="98">
      <calculatedColumnFormula>(#REF!-#REF!)/#REF!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233690A-FEA9-4ACD-9967-A7C2A4936AC5}" name="Table_Summary_Cloud_Costs" displayName="Table_Summary_Cloud_Costs" ref="C126:G137" totalsRowShown="0" headerRowDxfId="97" dataDxfId="96" tableBorderDxfId="95" totalsRowBorderDxfId="94">
  <autoFilter ref="C126:G137" xr:uid="{8F29705E-F0F9-4F00-985D-0A65CCDC7FDF}"/>
  <tableColumns count="5">
    <tableColumn id="1" xr3:uid="{44D5D3BD-F440-4232-972F-53E918C9D416}" name="Costs\Years" dataDxfId="92" totalsRowDxfId="93"/>
    <tableColumn id="2" xr3:uid="{1A224FA6-08A3-4A77-A573-A18933341F09}" name="Formula" dataDxfId="90" totalsRowDxfId="91"/>
    <tableColumn id="3" xr3:uid="{901EDC1B-D0D9-42A0-A92A-48417360AB99}" name="1 [$]" dataDxfId="88" totalsRowDxfId="89"/>
    <tableColumn id="4" xr3:uid="{481A49B7-A4B1-4E81-B8E7-AE7A493F505D}" name="2 [$]" dataDxfId="86" totalsRowDxfId="87"/>
    <tableColumn id="5" xr3:uid="{B25694DB-450F-45AC-B4FA-3AB0CBD3D4A3}" name="3 [$]" dataDxfId="84" totalsRowDxfId="85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2FBB094-20A6-4AF8-8141-E0956CDD7991}" name="Table_Licensing_Costs" displayName="Table_Licensing_Costs" ref="C78:G84" totalsRowShown="0" headerRowDxfId="83">
  <autoFilter ref="C78:G84" xr:uid="{A4CE3F2A-B882-4BB1-8F7D-F14F53B0FE47}"/>
  <tableColumns count="5">
    <tableColumn id="1" xr3:uid="{2BFFB374-6395-4C1E-A2D9-93D4C175D357}" name="Licensing " dataDxfId="82"/>
    <tableColumn id="2" xr3:uid="{4AD1C006-8343-406F-8BFE-E06ADA96B0FD}" name="Formula" dataDxfId="81"/>
    <tableColumn id="3" xr3:uid="{9D35E562-4859-4DED-9A19-48969CFC16A2}" name="Annual costs [$]" dataDxfId="80">
      <calculatedColumnFormula>'Costos Operacionales'!E80</calculatedColumnFormula>
    </tableColumn>
    <tableColumn id="4" xr3:uid="{BA5546A6-687B-42CB-9E18-A10F96B6EABF}" name="2nd year" dataDxfId="79"/>
    <tableColumn id="5" xr3:uid="{3FA4B9B4-73D3-45EE-BE8B-631A62EDAAE6}" name="3rd year" dataDxfId="78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A9B65D6-ACAE-4514-8FB5-264103E7C6CF}" name="Table_Infrastructure_Cost" displayName="Table_Infrastructure_Cost" ref="C64:E72" totalsRowShown="0" headerRowDxfId="77">
  <autoFilter ref="C64:E72" xr:uid="{962D733F-C9BF-4186-B36D-481C956A53DB}"/>
  <tableColumns count="3">
    <tableColumn id="1" xr3:uid="{20A080E1-3C6F-4584-ACDC-E73ABE7C7896}" name="Infrastructure" dataDxfId="76"/>
    <tableColumn id="2" xr3:uid="{8795A5A6-2895-4CF1-BABF-A189544A2804}" name="Formula" dataDxfId="75"/>
    <tableColumn id="3" xr3:uid="{4543216A-6F49-4C97-A0FF-346D5D05CC72}" name="Annual costs [$]" dataDxfId="74">
      <calculatedColumnFormula>'Costos Operacionales'!E47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AF749C-952E-4D4E-9134-0AF9361B5884}" name="Table_Saving_Costs" displayName="Table_Saving_Costs" ref="C150:G169" totalsRowShown="0" headerRowDxfId="73" tableBorderDxfId="72">
  <autoFilter ref="C150:G169" xr:uid="{FCCD0F04-A56C-4A5D-9408-EF1A5436C81A}"/>
  <tableColumns count="5">
    <tableColumn id="1" xr3:uid="{6FEA4667-FC9E-4603-B4C7-A0FE0A1E3167}" name="Saving Costs\Years"/>
    <tableColumn id="2" xr3:uid="{277BFC3F-5C6D-48BA-9680-0C7BD6A9AC02}" name="Formula" dataDxfId="71"/>
    <tableColumn id="3" xr3:uid="{F9B53491-5313-4C9D-B900-BEACF49A040C}" name="1" dataDxfId="70"/>
    <tableColumn id="4" xr3:uid="{EF78BF87-F40C-437F-83C4-205B8C81CFFB}" name="2" dataDxfId="69"/>
    <tableColumn id="5" xr3:uid="{97C3C795-A6D8-4ADD-84F3-9E416A3D3EEA}" name="3" dataDxfId="68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4E04AE2-DA71-444B-AF43-4870AB406BBD}" name="Table_productivity_summary" displayName="Table_productivity_summary" ref="C11:F17" totalsRowShown="0">
  <autoFilter ref="C11:F17" xr:uid="{770AADB5-A4A5-4FF0-8284-B7DD2CDB7166}"/>
  <tableColumns count="4">
    <tableColumn id="1" xr3:uid="{28E2721F-89D0-4106-AD59-A7B9C296D43A}" name="Item" dataDxfId="67"/>
    <tableColumn id="2" xr3:uid="{5FD5E511-A691-4639-A62A-8E4FC2286121}" name="Formula" dataDxfId="66"/>
    <tableColumn id="3" xr3:uid="{DCCDCCDE-50ED-4D88-90B8-5F9AD6A0CBA8}" name="Legacy" dataDxfId="65"/>
    <tableColumn id="4" xr3:uid="{8B8B8D62-968A-47CE-8763-ED01EC365154}" name="Cloud" dataDxfId="64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00DEEB0-3404-408C-8FB4-91CBC5022D3B}" name="Table_Productivity" displayName="Table_Productivity" ref="C21:I27" totalsRowShown="0" dataDxfId="63" tableBorderDxfId="62">
  <autoFilter ref="C21:I27" xr:uid="{8C575DA8-03DB-4843-81FD-48E3101E2EA0}"/>
  <tableColumns count="7">
    <tableColumn id="1" xr3:uid="{6A52690D-CDAB-4F45-9EC0-F653D51B3C39}" name="Item\Years"/>
    <tableColumn id="2" xr3:uid="{06999E6D-660C-499E-9C97-33E9D5F31744}" name="Formula" dataDxfId="61"/>
    <tableColumn id="3" xr3:uid="{27708FAF-C074-4804-8281-D2A21F636060}" name="1" dataDxfId="60">
      <calculatedColumnFormula>E16*5000*E21</calculatedColumnFormula>
    </tableColumn>
    <tableColumn id="4" xr3:uid="{57612CFC-A55A-47F7-982A-0A2BE1080CE8}" name="2" dataDxfId="59">
      <calculatedColumnFormula>Table_Productivity[[#This Row],[1]]*(1+rate_of_inflation)</calculatedColumnFormula>
    </tableColumn>
    <tableColumn id="5" xr3:uid="{D3C505A4-8CD2-4C42-90A6-16F21AA304BE}" name="3" dataDxfId="58"/>
    <tableColumn id="7" xr3:uid="{AD2CAEBE-1671-4CE0-B340-37E6186863D2}" name="[%]" dataDxfId="57">
      <calculatedColumnFormula>Table_Productivity[[#This Row],[1]]/E26</calculatedColumnFormula>
    </tableColumn>
    <tableColumn id="8" xr3:uid="{6DF4C470-DCF8-4A71-8815-2AC7F9B0591F}" name="Increased productivity [%]" dataDxfId="56">
      <calculatedColumnFormula>E25*Table_Productivity[[#This Row],['[%']]]</calculatedColumnFormula>
    </tableColumn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8F83EB-26C2-49CE-9D33-0F4915360E84}" name="Table_To_Graph_Cost_n_Year" displayName="Table_To_Graph_Cost_n_Year" ref="C12:G18" totalsRowShown="0" headerRowDxfId="55" tableBorderDxfId="54">
  <autoFilter ref="C12:G18" xr:uid="{E5AFD7A2-4AE4-42F9-AF2F-52F5F6980062}"/>
  <tableColumns count="5">
    <tableColumn id="1" xr3:uid="{6870B9F1-DBEF-41B5-9472-79C7283D1AC9}" name="Costs (USD)\Year" dataDxfId="53"/>
    <tableColumn id="2" xr3:uid="{FAF5B015-A795-4C04-9CEF-931F764099D1}" name="Formula" dataDxfId="52"/>
    <tableColumn id="3" xr3:uid="{81852507-D1D2-40D7-9048-649D1AC5A265}" name="1 [$]" dataDxfId="51">
      <calculatedColumnFormula>SUM(E11:E12)</calculatedColumnFormula>
    </tableColumn>
    <tableColumn id="4" xr3:uid="{AE1A91D6-E135-4640-BE6F-DE006723C18D}" name="2  [$]" dataDxfId="50">
      <calculatedColumnFormula>Table_To_Graph_Cost_n_Year[[#This Row],[1 '[$']]]*(1+$E$12)</calculatedColumnFormula>
    </tableColumn>
    <tableColumn id="5" xr3:uid="{C4506D04-F011-4D54-8D9C-800FFC651EBE}" name="3  [$]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DE7055-5797-471C-A8C0-53BE6889F971}" name="Table_To_Graph_Costs_by_Years" displayName="Table_To_Graph_Costs_by_Years" ref="C22:G25" totalsRowShown="0" headerRowDxfId="49" tableBorderDxfId="48">
  <autoFilter ref="C22:G25" xr:uid="{E36DA017-B9EB-4E9E-A2E1-FB1B142BA03A}"/>
  <tableColumns count="5">
    <tableColumn id="1" xr3:uid="{C604A25C-114A-4A64-A205-0BD6241444D3}" name="Costs (USD)\Year" dataDxfId="47"/>
    <tableColumn id="2" xr3:uid="{59D999F5-BDB3-4359-8E84-94D600E840C4}" name="Formula" dataDxfId="46"/>
    <tableColumn id="3" xr3:uid="{6400FC80-847D-4810-9F57-27B1713266A5}" name="1  [$]" dataDxfId="45">
      <calculatedColumnFormula>SUM(E21:E22)</calculatedColumnFormula>
    </tableColumn>
    <tableColumn id="4" xr3:uid="{C2A162BE-B508-4E49-8BB2-141E22244815}" name="2  [$]" dataDxfId="44">
      <calculatedColumnFormula>business_cloud_cost_2_year</calculatedColumnFormula>
    </tableColumn>
    <tableColumn id="5" xr3:uid="{8AC83B3D-EFCA-4ED9-8D6C-BD22093ADFC6}" name="3  [$]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636384B-7359-4D94-87E1-36EA1546B583}" name="Table_To_Graph_TCO_by_Years" displayName="Table_To_Graph_TCO_by_Years" ref="C38:H40" totalsRowShown="0" headerRowDxfId="43" dataDxfId="42" tableBorderDxfId="41">
  <autoFilter ref="C38:H40" xr:uid="{16DCB73A-C994-48E6-AC23-73BEE6F7FB31}"/>
  <tableColumns count="6">
    <tableColumn id="1" xr3:uid="{28DD8713-B375-43CB-B8B5-5B625AF70077}" name="Costs\Years" dataDxfId="40"/>
    <tableColumn id="2" xr3:uid="{402CEDF4-1634-4C52-A963-1E75BD796E3D}" name="Formula" dataDxfId="39"/>
    <tableColumn id="3" xr3:uid="{66391810-4341-49A0-87B6-A9A3126DBEC2}" name="0" dataDxfId="38">
      <calculatedColumnFormula>initial_investment</calculatedColumnFormula>
    </tableColumn>
    <tableColumn id="4" xr3:uid="{94CBD9BD-63BF-46E3-9564-80B9F0BB0E12}" name="1  [$]" dataDxfId="37">
      <calculatedColumnFormula>Analysis!#REF!</calculatedColumnFormula>
    </tableColumn>
    <tableColumn id="5" xr3:uid="{152B0203-4725-4707-8254-92559F3E5022}" name="2  [$]" dataDxfId="36">
      <calculatedColumnFormula>Analysis!F121-Analysis!F137</calculatedColumnFormula>
    </tableColumn>
    <tableColumn id="6" xr3:uid="{59F29273-8F7D-4DB7-B468-91500D31B196}" name="3  [$]" dataDxfId="35">
      <calculatedColumnFormula>Analysis!G121-Analysis!G137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C756984-FDCE-4DD5-8758-0D7838BBC83F}" name="Table_To_Graph_Costs_by_Years19" displayName="Table_To_Graph_Costs_by_Years19" ref="C29:G31" totalsRowShown="0" headerRowDxfId="34" tableBorderDxfId="33">
  <autoFilter ref="C29:G31" xr:uid="{38924F3A-91E3-4A1E-98BA-07DA7C0985F9}"/>
  <tableColumns count="5">
    <tableColumn id="1" xr3:uid="{BA0DDFF7-6A90-49D8-A7A5-CA96040515FB}" name="Costs (USD)\Year" dataDxfId="32"/>
    <tableColumn id="2" xr3:uid="{18B82958-D659-45BE-BCB9-56B0439DE7DA}" name="Formula" dataDxfId="31"/>
    <tableColumn id="3" xr3:uid="{4814AFD0-66A0-45CE-B44D-F3E5319FBB62}" name="1  [$]" dataDxfId="30">
      <calculatedColumnFormula>SUM(E28:E29)</calculatedColumnFormula>
    </tableColumn>
    <tableColumn id="4" xr3:uid="{92765341-F52A-47E0-9093-1DC636D48123}" name="2  [$]" dataDxfId="29">
      <calculatedColumnFormula>business_cloud_cost_2_year</calculatedColumnFormula>
    </tableColumn>
    <tableColumn id="5" xr3:uid="{05EEC6BD-8BDA-46BE-83CC-D852298FDBAD}" name="3  [$]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246451-2428-44C0-96D8-F6E91987D3D4}" name="Table_post_mygration_analysis" displayName="Table_post_mygration_analysis" ref="C15:E18" totalsRowShown="0" headerRowDxfId="28" dataDxfId="27">
  <autoFilter ref="C15:E18" xr:uid="{77D74899-86F6-4DD2-8D5D-5F4891A5C3E2}"/>
  <tableColumns count="3">
    <tableColumn id="1" xr3:uid="{9294F5DB-A15C-4325-9D0C-8DB2A255A40B}" name="Post Mygration Analysis (Per Application)" dataDxfId="26"/>
    <tableColumn id="4" xr3:uid="{C4948933-E28C-42CD-8A1C-B2A094B27607}" name="Formula"/>
    <tableColumn id="2" xr3:uid="{FD1A92E9-6083-4AF0-A3D1-4E859805F87E}" name="Value" dataDxfId="25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68B4C5-F1F3-4847-B458-440D20A1039E}" name="Table_TCO_sumary" displayName="Table_TCO_sumary" ref="C20:E23" totalsRowShown="0" headerRowDxfId="24" dataDxfId="23">
  <autoFilter ref="C20:E23" xr:uid="{ADCED923-13C9-4B90-AD11-584F65901EC8}"/>
  <tableColumns count="3">
    <tableColumn id="1" xr3:uid="{CC67CDD6-1B71-4119-88CE-C5EEC5A797A6}" name="TCO/Year 1 reduction (%)" dataDxfId="22"/>
    <tableColumn id="3" xr3:uid="{095E81C8-BA3A-4364-BC5A-0DC9330177DA}" name="Formula"/>
    <tableColumn id="2" xr3:uid="{D7C2C2BC-5702-404B-86AF-EA35F2ECA3FB}" name="   " dataDxfId="21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C2956-9842-4EFF-968E-34912AE8657B}" name="Table_implementation_costs_summary_1" displayName="Table_implementation_costs_summary_1" ref="C33:G34" totalsRowShown="0" headerRowDxfId="20" dataDxfId="19">
  <autoFilter ref="C33:G34" xr:uid="{81E5BC0C-C45E-468D-9709-0A63EA141B58}"/>
  <tableColumns count="5">
    <tableColumn id="1" xr3:uid="{59C7FE4E-3941-4CD1-AE4F-D13E6F328B7D}" name="Modernization Development Cost" dataDxfId="18">
      <calculatedColumnFormula>initial_investment</calculatedColumnFormula>
    </tableColumn>
    <tableColumn id="2" xr3:uid="{1DA54A58-D7AB-4F5C-A747-832F153A7372}" name="Formula" dataDxfId="17"/>
    <tableColumn id="3" xr3:uid="{7CFB38D0-738F-4B6A-AABF-A331C8FA4F4A}" name="Cost of change (Legacy cost while implementing cloud)" dataDxfId="16">
      <calculatedColumnFormula>(total_legacy_cost_1_year/12)*number_of_months_of_implementation</calculatedColumnFormula>
    </tableColumn>
    <tableColumn id="4" xr3:uid="{4840B43A-5701-440A-9B2C-A75A440F57DD}" name="Cloud Licensing Costs (3 years)" dataDxfId="15">
      <calculatedColumnFormula>cloud_licensing_costs_1_year</calculatedColumnFormula>
    </tableColumn>
    <tableColumn id="5" xr3:uid="{B4C004FE-75FC-467B-8C7C-D95683464508}" name="Total Costs" dataDxfId="14">
      <calculatedColumnFormula>SUM(Table_implementation_costs_summary_1[[#This Row],[Modernization Development Cost]:[Cost of change (Legacy cost while implementing cloud)]])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7722AF-FA5A-427F-A82C-D1AC4078DBE3}" name="Tabla_ROI_TCO" displayName="Tabla_ROI_TCO" ref="I15:N20" totalsRowShown="0" headerRowDxfId="13" dataDxfId="12">
  <autoFilter ref="I15:N20" xr:uid="{DCDDAF61-B402-45F8-9505-B6CF005442C5}"/>
  <tableColumns count="6">
    <tableColumn id="1" xr3:uid="{FD687B5B-BBB2-489E-9DBD-F18BBB0E6987}" name=" Item\Years" dataDxfId="11"/>
    <tableColumn id="5" xr3:uid="{EF8DC22F-BCDE-4F8F-AD36-F91E7D15D303}" name="Formula" dataDxfId="10"/>
    <tableColumn id="7" xr3:uid="{82670D16-4FDD-42E5-AB0B-D84E130845B2}" name="0" dataDxfId="9"/>
    <tableColumn id="2" xr3:uid="{7870CB9B-E3AA-473B-BFBA-5EA02EDE40B5}" name="1" dataDxfId="8"/>
    <tableColumn id="3" xr3:uid="{37498E92-BC81-4F35-82D4-CD69ED78C3C0}" name="2" dataDxfId="7"/>
    <tableColumn id="4" xr3:uid="{DD79B9EF-C635-4BA7-A95C-B2DAAADE8437}" name="3" dataDxfId="6"/>
  </tableColumns>
  <tableStyleInfo name="TableStyleLight1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6C9171-F78D-4C3F-95A4-17BA38C8A506}" name="Table_implementation_costs_summary_2" displayName="Table_implementation_costs_summary_2" ref="C37:F38" totalsRowShown="0" dataDxfId="5" tableBorderDxfId="4">
  <autoFilter ref="C37:F38" xr:uid="{B6CC2DF4-5BCE-4A9C-ABA0-34015F8A4511}"/>
  <tableColumns count="4">
    <tableColumn id="1" xr3:uid="{1D8AAA36-D1ED-47AF-AB2A-749F9C317144}" name="Modernization Development Cost" dataDxfId="3">
      <calculatedColumnFormula>initial_investment</calculatedColumnFormula>
    </tableColumn>
    <tableColumn id="2" xr3:uid="{4C1D513E-6775-48CA-A786-338AF68E589F}" name="Formula" dataDxfId="2"/>
    <tableColumn id="3" xr3:uid="{C0E2B135-302C-4D1B-BCCA-447970BD0AEF}" name="Cost of change (Legacy cost while implementing cloud)" dataDxfId="1">
      <calculatedColumnFormula>(total_legacy_cost_1_year/12)*number_of_months_of_implementation</calculatedColumnFormula>
    </tableColumn>
    <tableColumn id="4" xr3:uid="{BC4B61AD-A1C7-4A22-9698-303F69F42BEA}" name="Total Costs" dataDxfId="0">
      <calculatedColumnFormula>SUM(C38:E38)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12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247E-139E-4DE0-9718-C36A2A4C17BF}">
  <sheetPr codeName="Sheet1"/>
  <dimension ref="A1:I1048576"/>
  <sheetViews>
    <sheetView zoomScaleNormal="100" workbookViewId="0">
      <selection activeCell="C12" sqref="C12"/>
    </sheetView>
  </sheetViews>
  <sheetFormatPr defaultColWidth="0" defaultRowHeight="15.6" zeroHeight="1"/>
  <cols>
    <col min="1" max="1" width="3.5703125" style="13" customWidth="1"/>
    <col min="2" max="2" width="3.85546875" style="13" customWidth="1"/>
    <col min="3" max="3" width="53.85546875" style="14" customWidth="1"/>
    <col min="4" max="4" width="18.85546875" style="14" customWidth="1"/>
    <col min="5" max="5" width="23.5703125" style="14" customWidth="1"/>
    <col min="6" max="6" width="23.42578125" style="13" customWidth="1"/>
    <col min="7" max="7" width="7" style="13" customWidth="1"/>
    <col min="8" max="8" width="4.85546875" style="13" customWidth="1"/>
    <col min="9" max="16384" width="8.7109375" hidden="1"/>
  </cols>
  <sheetData>
    <row r="1" spans="3:9" s="13" customFormat="1">
      <c r="C1" s="14"/>
      <c r="D1" s="14"/>
    </row>
    <row r="2" spans="3:9">
      <c r="E2" s="13"/>
    </row>
    <row r="3" spans="3:9" ht="23.45">
      <c r="C3" s="272" t="s">
        <v>0</v>
      </c>
      <c r="D3" s="272"/>
      <c r="E3" s="272"/>
      <c r="F3" s="272"/>
      <c r="G3" s="57"/>
    </row>
    <row r="4" spans="3:9" ht="23.45">
      <c r="C4" s="272" t="s">
        <v>1</v>
      </c>
      <c r="D4" s="272"/>
      <c r="E4" s="272"/>
      <c r="F4" s="272"/>
      <c r="G4" s="57"/>
    </row>
    <row r="5" spans="3:9" ht="18.600000000000001">
      <c r="C5" s="46"/>
      <c r="D5" s="46"/>
      <c r="E5" s="46"/>
      <c r="F5" s="46"/>
      <c r="G5" s="47"/>
    </row>
    <row r="6" spans="3:9" ht="14.1" customHeight="1">
      <c r="C6" s="47"/>
      <c r="D6" s="47"/>
      <c r="E6" s="47"/>
      <c r="F6" s="47"/>
      <c r="G6" s="47"/>
    </row>
    <row r="7" spans="3:9" ht="14.1" customHeight="1">
      <c r="C7" s="275" t="s">
        <v>2</v>
      </c>
      <c r="D7" s="275"/>
      <c r="E7" s="275"/>
      <c r="F7" s="275"/>
      <c r="G7" s="225"/>
      <c r="I7" s="13"/>
    </row>
    <row r="8" spans="3:9">
      <c r="C8" s="48"/>
      <c r="D8" s="48"/>
      <c r="E8" s="49"/>
      <c r="F8" s="49"/>
      <c r="G8" s="49"/>
      <c r="I8" s="13"/>
    </row>
    <row r="9" spans="3:9">
      <c r="C9" s="48"/>
      <c r="D9" s="48"/>
      <c r="E9" s="49"/>
      <c r="F9" s="49"/>
      <c r="G9" s="49"/>
      <c r="I9" s="13"/>
    </row>
    <row r="10" spans="3:9">
      <c r="C10" s="48" t="s">
        <v>3</v>
      </c>
      <c r="D10" s="48"/>
      <c r="E10" s="44"/>
      <c r="F10" s="84"/>
      <c r="G10" s="84"/>
      <c r="I10" s="13"/>
    </row>
    <row r="11" spans="3:9">
      <c r="C11" s="48"/>
      <c r="D11" s="48"/>
      <c r="E11" s="49"/>
      <c r="F11" s="84"/>
      <c r="G11" s="84"/>
      <c r="I11" s="13"/>
    </row>
    <row r="12" spans="3:9">
      <c r="C12" s="48" t="s">
        <v>4</v>
      </c>
      <c r="D12" s="48"/>
      <c r="E12" s="44"/>
      <c r="F12" s="84"/>
      <c r="G12" s="84"/>
      <c r="I12" s="13"/>
    </row>
    <row r="13" spans="3:9">
      <c r="C13" s="48"/>
      <c r="D13" s="48"/>
      <c r="E13" s="49"/>
      <c r="F13" s="84"/>
      <c r="G13" s="84"/>
      <c r="I13" s="13"/>
    </row>
    <row r="14" spans="3:9">
      <c r="C14" s="48" t="s">
        <v>5</v>
      </c>
      <c r="D14" s="48"/>
      <c r="E14" s="129"/>
      <c r="F14" s="84"/>
      <c r="G14" s="84"/>
      <c r="I14" s="13"/>
    </row>
    <row r="15" spans="3:9">
      <c r="C15" s="48"/>
      <c r="D15" s="48"/>
      <c r="E15" s="49"/>
      <c r="F15" s="84"/>
      <c r="G15" s="84"/>
      <c r="I15" s="13"/>
    </row>
    <row r="16" spans="3:9" ht="30.95">
      <c r="C16" s="48" t="s">
        <v>6</v>
      </c>
      <c r="D16" s="50"/>
      <c r="E16" s="44" t="s">
        <v>7</v>
      </c>
      <c r="F16" s="84"/>
      <c r="G16" s="84"/>
      <c r="I16" s="13"/>
    </row>
    <row r="17" spans="3:9">
      <c r="C17" s="48"/>
      <c r="D17" s="48"/>
      <c r="E17" s="48"/>
      <c r="F17" s="84"/>
      <c r="G17" s="84"/>
      <c r="I17" s="13"/>
    </row>
    <row r="18" spans="3:9" ht="30.95">
      <c r="C18" s="48" t="s">
        <v>8</v>
      </c>
      <c r="D18" s="48"/>
      <c r="E18" s="48"/>
      <c r="F18" s="84"/>
      <c r="G18" s="84"/>
      <c r="I18" s="13"/>
    </row>
    <row r="19" spans="3:9">
      <c r="C19" s="48"/>
      <c r="D19" s="48"/>
      <c r="E19" s="16" t="s">
        <v>9</v>
      </c>
      <c r="F19" s="49"/>
      <c r="G19" s="49"/>
      <c r="I19" s="13"/>
    </row>
    <row r="20" spans="3:9">
      <c r="C20" s="48"/>
      <c r="D20" s="48"/>
      <c r="E20" s="16" t="s">
        <v>10</v>
      </c>
      <c r="F20" s="49"/>
      <c r="G20" s="49"/>
      <c r="I20" s="13"/>
    </row>
    <row r="21" spans="3:9">
      <c r="C21" s="48"/>
      <c r="D21" s="48"/>
      <c r="E21" s="16" t="s">
        <v>11</v>
      </c>
      <c r="F21" s="49"/>
      <c r="G21" s="49"/>
      <c r="I21" s="13"/>
    </row>
    <row r="22" spans="3:9">
      <c r="C22" s="42"/>
      <c r="D22" s="42"/>
      <c r="E22" s="16" t="s">
        <v>12</v>
      </c>
      <c r="F22" s="43"/>
      <c r="G22" s="43"/>
      <c r="I22" s="13"/>
    </row>
    <row r="23" spans="3:9">
      <c r="E23" s="16" t="s">
        <v>13</v>
      </c>
      <c r="F23" s="44"/>
      <c r="G23" s="49"/>
      <c r="I23" s="13"/>
    </row>
    <row r="24" spans="3:9">
      <c r="E24" s="13"/>
      <c r="I24" s="13"/>
    </row>
    <row r="25" spans="3:9">
      <c r="I25" s="13"/>
    </row>
    <row r="26" spans="3:9"/>
    <row r="27" spans="3:9"/>
    <row r="28" spans="3:9"/>
    <row r="1048566" spans="5:8" hidden="1">
      <c r="E1048566"/>
      <c r="F1048566"/>
      <c r="G1048566"/>
      <c r="H1048566"/>
    </row>
    <row r="1048567" spans="5:8" hidden="1">
      <c r="E1048567"/>
      <c r="F1048567"/>
      <c r="G1048567"/>
      <c r="H1048567"/>
    </row>
    <row r="1048568" spans="5:8" hidden="1">
      <c r="E1048568"/>
      <c r="F1048568"/>
      <c r="G1048568"/>
      <c r="H1048568"/>
    </row>
    <row r="1048569" spans="5:8" hidden="1">
      <c r="E1048569"/>
      <c r="F1048569"/>
      <c r="G1048569"/>
      <c r="H1048569"/>
    </row>
    <row r="1048570" spans="5:8" hidden="1">
      <c r="E1048570"/>
      <c r="F1048570"/>
      <c r="G1048570"/>
      <c r="H1048570"/>
    </row>
    <row r="1048571" spans="5:8" hidden="1">
      <c r="E1048571"/>
      <c r="F1048571"/>
      <c r="G1048571"/>
      <c r="H1048571"/>
    </row>
    <row r="1048572" spans="5:8" hidden="1">
      <c r="E1048572"/>
      <c r="F1048572"/>
      <c r="G1048572"/>
      <c r="H1048572"/>
    </row>
    <row r="1048573" spans="5:8" hidden="1">
      <c r="E1048573"/>
      <c r="F1048573"/>
      <c r="G1048573"/>
      <c r="H1048573"/>
    </row>
    <row r="1048574" spans="5:8" hidden="1">
      <c r="E1048574"/>
      <c r="F1048574"/>
      <c r="G1048574"/>
      <c r="H1048574"/>
    </row>
    <row r="1048575" spans="5:8" hidden="1">
      <c r="E1048575"/>
      <c r="F1048575"/>
      <c r="G1048575"/>
      <c r="H1048575"/>
    </row>
    <row r="1048576" spans="5:8" hidden="1">
      <c r="E1048576"/>
      <c r="F1048576"/>
      <c r="G1048576"/>
      <c r="H1048576"/>
    </row>
  </sheetData>
  <mergeCells count="3">
    <mergeCell ref="C3:F3"/>
    <mergeCell ref="C4:F4"/>
    <mergeCell ref="C7:F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>
                <anchor moveWithCells="1">
                  <from>
                    <xdr:col>3</xdr:col>
                    <xdr:colOff>1041400</xdr:colOff>
                    <xdr:row>18</xdr:row>
                    <xdr:rowOff>12700</xdr:rowOff>
                  </from>
                  <to>
                    <xdr:col>4</xdr:col>
                    <xdr:colOff>469900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>
                <anchor moveWithCells="1">
                  <from>
                    <xdr:col>3</xdr:col>
                    <xdr:colOff>1047750</xdr:colOff>
                    <xdr:row>19</xdr:row>
                    <xdr:rowOff>12700</xdr:rowOff>
                  </from>
                  <to>
                    <xdr:col>4</xdr:col>
                    <xdr:colOff>476250</xdr:colOff>
                    <xdr:row>20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3</xdr:col>
                    <xdr:colOff>1047750</xdr:colOff>
                    <xdr:row>20</xdr:row>
                    <xdr:rowOff>12700</xdr:rowOff>
                  </from>
                  <to>
                    <xdr:col>4</xdr:col>
                    <xdr:colOff>533400</xdr:colOff>
                    <xdr:row>21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3</xdr:col>
                    <xdr:colOff>1060450</xdr:colOff>
                    <xdr:row>21</xdr:row>
                    <xdr:rowOff>0</xdr:rowOff>
                  </from>
                  <to>
                    <xdr:col>4</xdr:col>
                    <xdr:colOff>546100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3</xdr:col>
                    <xdr:colOff>1047750</xdr:colOff>
                    <xdr:row>22</xdr:row>
                    <xdr:rowOff>0</xdr:rowOff>
                  </from>
                  <to>
                    <xdr:col>4</xdr:col>
                    <xdr:colOff>533400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19190-4140-421F-950F-3BDE3CA8491E}">
  <sheetPr codeName="Sheet2"/>
  <dimension ref="A1:J92"/>
  <sheetViews>
    <sheetView topLeftCell="A5" zoomScaleNormal="100" workbookViewId="0">
      <selection activeCell="D14" sqref="D14"/>
    </sheetView>
  </sheetViews>
  <sheetFormatPr defaultColWidth="0" defaultRowHeight="15.6" zeroHeight="1"/>
  <cols>
    <col min="1" max="1" width="4.85546875" style="13" customWidth="1"/>
    <col min="2" max="2" width="4" style="13" customWidth="1"/>
    <col min="3" max="3" width="57.5703125" style="14" customWidth="1"/>
    <col min="4" max="4" width="22.42578125" style="14" customWidth="1"/>
    <col min="5" max="5" width="31.28515625" style="16" customWidth="1"/>
    <col min="6" max="6" width="6.85546875" style="15" customWidth="1"/>
    <col min="7" max="7" width="7.5703125" style="13" customWidth="1"/>
    <col min="8" max="10" width="0" style="13" hidden="1" customWidth="1"/>
    <col min="11" max="16384" width="8.7109375" style="13" hidden="1"/>
  </cols>
  <sheetData>
    <row r="1" spans="1:9"/>
    <row r="2" spans="1:9" customFormat="1">
      <c r="A2" s="13"/>
      <c r="B2" s="13"/>
      <c r="C2" s="14"/>
      <c r="D2" s="14"/>
      <c r="E2" s="16"/>
      <c r="F2" s="15"/>
      <c r="G2" s="13"/>
      <c r="H2" s="13"/>
      <c r="I2" s="13"/>
    </row>
    <row r="3" spans="1:9" customFormat="1" ht="23.45">
      <c r="A3" s="13"/>
      <c r="B3" s="13"/>
      <c r="C3" s="272" t="s">
        <v>0</v>
      </c>
      <c r="D3" s="272"/>
      <c r="E3" s="272"/>
      <c r="F3" s="272"/>
      <c r="G3" s="13"/>
      <c r="H3" s="13"/>
      <c r="I3" s="13"/>
    </row>
    <row r="4" spans="1:9" customFormat="1" ht="23.45">
      <c r="A4" s="13"/>
      <c r="B4" s="13"/>
      <c r="C4" s="272" t="s">
        <v>14</v>
      </c>
      <c r="D4" s="272"/>
      <c r="E4" s="272"/>
      <c r="F4" s="272"/>
      <c r="G4" s="13"/>
      <c r="H4" s="13"/>
      <c r="I4" s="13"/>
    </row>
    <row r="5" spans="1:9" customFormat="1" ht="18.600000000000001">
      <c r="A5" s="13"/>
      <c r="B5" s="13"/>
      <c r="C5" s="277"/>
      <c r="D5" s="277"/>
      <c r="E5" s="277"/>
      <c r="F5" s="270"/>
      <c r="G5" s="13"/>
      <c r="H5" s="13"/>
      <c r="I5" s="13"/>
    </row>
    <row r="6" spans="1:9" customFormat="1" ht="8.1" customHeight="1">
      <c r="A6" s="13"/>
      <c r="B6" s="13"/>
      <c r="C6" s="271"/>
      <c r="D6" s="271"/>
      <c r="E6" s="271"/>
      <c r="F6" s="13"/>
      <c r="G6" s="13"/>
      <c r="H6" s="13"/>
      <c r="I6" s="13"/>
    </row>
    <row r="7" spans="1:9" customFormat="1" ht="11.45" customHeight="1">
      <c r="A7" s="13"/>
      <c r="B7" s="13"/>
      <c r="C7" s="271"/>
      <c r="D7" s="271"/>
      <c r="E7" s="271"/>
      <c r="F7" s="13"/>
      <c r="G7" s="13"/>
      <c r="H7" s="13"/>
      <c r="I7" s="13"/>
    </row>
    <row r="8" spans="1:9" customFormat="1" ht="14.1" customHeight="1">
      <c r="A8" s="13"/>
      <c r="B8" s="13"/>
      <c r="C8" s="277" t="s">
        <v>15</v>
      </c>
      <c r="D8" s="277"/>
      <c r="E8" s="277"/>
      <c r="F8" s="13"/>
      <c r="G8" s="13"/>
      <c r="H8" s="13"/>
      <c r="I8" s="13"/>
    </row>
    <row r="9" spans="1:9" customFormat="1" ht="14.45" customHeight="1">
      <c r="A9" s="13"/>
      <c r="B9" s="13"/>
      <c r="C9" s="271"/>
      <c r="D9" s="271"/>
      <c r="E9" s="271"/>
      <c r="F9" s="13"/>
      <c r="G9" s="13"/>
      <c r="H9" s="13"/>
      <c r="I9" s="13"/>
    </row>
    <row r="10" spans="1:9" customFormat="1" ht="18.600000000000001" customHeight="1">
      <c r="A10" s="13"/>
      <c r="B10" s="13"/>
      <c r="C10" s="274" t="s">
        <v>16</v>
      </c>
      <c r="D10" s="274"/>
      <c r="E10" s="274"/>
      <c r="F10" s="85"/>
      <c r="G10" s="13"/>
      <c r="H10" s="13"/>
      <c r="I10" s="13"/>
    </row>
    <row r="11" spans="1:9" customFormat="1" ht="24.6" customHeight="1">
      <c r="A11" s="13"/>
      <c r="B11" s="13"/>
      <c r="C11" s="52"/>
      <c r="D11" s="52"/>
      <c r="E11" s="52"/>
      <c r="F11" s="52"/>
      <c r="G11" s="13"/>
      <c r="H11" s="13"/>
      <c r="I11" s="13"/>
    </row>
    <row r="12" spans="1:9" customFormat="1">
      <c r="A12" s="13"/>
      <c r="B12" s="13"/>
      <c r="C12" s="14" t="s">
        <v>17</v>
      </c>
      <c r="D12" s="14"/>
      <c r="E12" s="132" t="str">
        <f>application_name</f>
        <v xml:space="preserve">  </v>
      </c>
      <c r="F12" s="15"/>
      <c r="G12" s="13"/>
      <c r="H12" s="13"/>
      <c r="I12" s="13"/>
    </row>
    <row r="13" spans="1:9" customFormat="1">
      <c r="A13" s="13"/>
      <c r="B13" s="13"/>
      <c r="C13" s="14"/>
      <c r="D13" s="14"/>
      <c r="E13" s="131"/>
      <c r="F13" s="15"/>
      <c r="G13" s="13"/>
      <c r="H13" s="13"/>
      <c r="I13" s="13"/>
    </row>
    <row r="14" spans="1:9" customFormat="1" ht="30.95">
      <c r="A14" s="13"/>
      <c r="B14" s="13"/>
      <c r="C14" s="14" t="s">
        <v>18</v>
      </c>
      <c r="D14" s="14"/>
      <c r="E14" s="26"/>
      <c r="F14" s="15"/>
      <c r="G14" s="13"/>
      <c r="H14" s="13"/>
      <c r="I14" s="13"/>
    </row>
    <row r="15" spans="1:9" customFormat="1">
      <c r="A15" s="13"/>
      <c r="B15" s="13"/>
      <c r="C15" s="14"/>
      <c r="D15" s="14"/>
      <c r="E15" s="16"/>
      <c r="F15" s="15"/>
      <c r="G15" s="13"/>
      <c r="H15" s="13"/>
      <c r="I15" s="13"/>
    </row>
    <row r="16" spans="1:9" customFormat="1" ht="30.95">
      <c r="A16" s="13"/>
      <c r="B16" s="13"/>
      <c r="C16" s="14" t="s">
        <v>19</v>
      </c>
      <c r="D16" s="14"/>
      <c r="E16" s="26"/>
      <c r="F16" s="15"/>
      <c r="G16" s="13"/>
      <c r="H16" s="13"/>
      <c r="I16" s="13"/>
    </row>
    <row r="17" spans="1:9" customFormat="1">
      <c r="A17" s="13"/>
      <c r="B17" s="13"/>
      <c r="C17" s="14"/>
      <c r="D17" s="14"/>
      <c r="E17" s="16"/>
      <c r="F17" s="15"/>
      <c r="G17" s="13"/>
      <c r="H17" s="13"/>
      <c r="I17" s="13"/>
    </row>
    <row r="18" spans="1:9" customFormat="1" ht="30.95">
      <c r="A18" s="13"/>
      <c r="B18" s="13"/>
      <c r="C18" s="14" t="s">
        <v>20</v>
      </c>
      <c r="D18" s="14"/>
      <c r="E18" s="27"/>
      <c r="F18" s="15"/>
      <c r="G18" s="15"/>
      <c r="H18" s="13"/>
      <c r="I18" s="13"/>
    </row>
    <row r="19" spans="1:9" customFormat="1">
      <c r="A19" s="13"/>
      <c r="B19" s="13"/>
      <c r="C19" s="14"/>
      <c r="D19" s="14"/>
      <c r="E19" s="16"/>
      <c r="F19" s="15"/>
      <c r="G19" s="13"/>
      <c r="H19" s="13"/>
      <c r="I19" s="13"/>
    </row>
    <row r="20" spans="1:9" customFormat="1" ht="30.95">
      <c r="A20" s="13"/>
      <c r="B20" s="13"/>
      <c r="C20" s="14" t="s">
        <v>21</v>
      </c>
      <c r="D20" s="14"/>
      <c r="E20" s="27"/>
      <c r="F20" s="15"/>
      <c r="G20" s="13"/>
      <c r="H20" s="13"/>
      <c r="I20" s="13"/>
    </row>
    <row r="21" spans="1:9" customFormat="1">
      <c r="A21" s="13"/>
      <c r="B21" s="13"/>
      <c r="C21" s="14"/>
      <c r="D21" s="14"/>
      <c r="E21" s="16"/>
      <c r="F21" s="15"/>
      <c r="G21" s="13"/>
      <c r="H21" s="13"/>
      <c r="I21" s="13"/>
    </row>
    <row r="22" spans="1:9" customFormat="1">
      <c r="A22" s="13"/>
      <c r="B22" s="13"/>
      <c r="C22" s="14" t="s">
        <v>22</v>
      </c>
      <c r="D22" s="14"/>
      <c r="E22" s="26"/>
      <c r="F22" s="15"/>
      <c r="G22" s="13"/>
      <c r="H22" s="13"/>
      <c r="I22" s="13"/>
    </row>
    <row r="23" spans="1:9" customFormat="1">
      <c r="A23" s="13"/>
      <c r="B23" s="13"/>
      <c r="C23" s="14"/>
      <c r="D23" s="14"/>
      <c r="E23" s="14"/>
      <c r="F23" s="15"/>
      <c r="G23" s="13"/>
      <c r="H23" s="13"/>
      <c r="I23" s="13"/>
    </row>
    <row r="24" spans="1:9" customFormat="1">
      <c r="A24" s="13"/>
      <c r="B24" s="13"/>
      <c r="C24" s="13"/>
      <c r="D24" s="53"/>
      <c r="E24" s="14"/>
      <c r="F24" s="15"/>
      <c r="G24" s="13"/>
      <c r="H24" s="13"/>
      <c r="I24" s="13"/>
    </row>
    <row r="25" spans="1:9" customFormat="1">
      <c r="A25" s="13"/>
      <c r="B25" s="13"/>
      <c r="C25" s="13"/>
      <c r="D25" s="53"/>
      <c r="E25" s="16"/>
      <c r="F25" s="15"/>
      <c r="G25" s="13"/>
      <c r="H25" s="13"/>
      <c r="I25" s="13"/>
    </row>
    <row r="26" spans="1:9" customFormat="1" ht="18.600000000000001">
      <c r="A26" s="13"/>
      <c r="B26" s="13"/>
      <c r="C26" s="277" t="s">
        <v>23</v>
      </c>
      <c r="D26" s="277"/>
      <c r="E26" s="277"/>
      <c r="F26" s="15"/>
      <c r="G26" s="13"/>
      <c r="H26" s="13"/>
      <c r="I26" s="13"/>
    </row>
    <row r="27" spans="1:9" customFormat="1" ht="24.6" customHeight="1">
      <c r="A27" s="13"/>
      <c r="B27" s="13"/>
      <c r="C27" s="276" t="s">
        <v>24</v>
      </c>
      <c r="D27" s="276"/>
      <c r="E27" s="276"/>
      <c r="F27" s="276"/>
      <c r="G27" s="13"/>
      <c r="H27" s="13"/>
      <c r="I27" s="13"/>
    </row>
    <row r="28" spans="1:9" customFormat="1">
      <c r="A28" s="13"/>
      <c r="B28" s="13"/>
      <c r="C28" s="14"/>
      <c r="D28" s="14"/>
      <c r="E28" s="16"/>
      <c r="F28" s="15"/>
      <c r="G28" s="13"/>
      <c r="H28" s="13"/>
      <c r="I28" s="13"/>
    </row>
    <row r="29" spans="1:9" customFormat="1">
      <c r="A29" s="13"/>
      <c r="B29" s="13"/>
      <c r="C29" s="14" t="s">
        <v>25</v>
      </c>
      <c r="D29" s="14"/>
      <c r="E29" s="27"/>
      <c r="F29" s="15"/>
      <c r="G29" s="13"/>
      <c r="H29" s="13"/>
      <c r="I29" s="13"/>
    </row>
    <row r="30" spans="1:9" customFormat="1">
      <c r="A30" s="13"/>
      <c r="B30" s="13"/>
      <c r="C30" s="14"/>
      <c r="D30" s="14"/>
      <c r="E30" s="16"/>
      <c r="F30" s="15"/>
      <c r="G30" s="13"/>
      <c r="H30" s="13"/>
      <c r="I30" s="13"/>
    </row>
    <row r="31" spans="1:9" customFormat="1">
      <c r="A31" s="13"/>
      <c r="B31" s="13"/>
      <c r="C31" s="14" t="s">
        <v>26</v>
      </c>
      <c r="D31" s="14"/>
      <c r="E31" s="27"/>
      <c r="F31" s="15"/>
      <c r="G31" s="13"/>
      <c r="H31" s="13"/>
      <c r="I31" s="13"/>
    </row>
    <row r="32" spans="1:9" customFormat="1">
      <c r="A32" s="13"/>
      <c r="B32" s="13"/>
      <c r="C32" s="14"/>
      <c r="D32" s="14"/>
      <c r="E32" s="16"/>
      <c r="F32" s="15"/>
      <c r="G32" s="13"/>
      <c r="H32" s="13"/>
      <c r="I32" s="13"/>
    </row>
    <row r="33" spans="1:7" customFormat="1">
      <c r="A33" s="13"/>
      <c r="B33" s="13"/>
      <c r="C33" s="14"/>
      <c r="D33" s="14"/>
      <c r="E33" s="16"/>
      <c r="F33" s="15"/>
      <c r="G33" s="13"/>
    </row>
    <row r="34" spans="1:7" customFormat="1">
      <c r="A34" s="13"/>
      <c r="B34" s="13"/>
      <c r="C34" s="14"/>
      <c r="D34" s="14"/>
      <c r="E34" s="16"/>
      <c r="F34" s="15"/>
      <c r="G34" s="13"/>
    </row>
    <row r="35" spans="1:7" customFormat="1" ht="18.600000000000001">
      <c r="A35" s="13"/>
      <c r="B35" s="13"/>
      <c r="C35" s="277" t="s">
        <v>27</v>
      </c>
      <c r="D35" s="277"/>
      <c r="E35" s="277"/>
      <c r="F35" s="58"/>
      <c r="G35" s="13"/>
    </row>
    <row r="36" spans="1:7" customFormat="1" ht="24.6" customHeight="1">
      <c r="A36" s="13"/>
      <c r="B36" s="13"/>
      <c r="C36" s="276" t="s">
        <v>28</v>
      </c>
      <c r="D36" s="276"/>
      <c r="E36" s="276"/>
      <c r="F36" s="276"/>
      <c r="G36" s="13"/>
    </row>
    <row r="37" spans="1:7" customFormat="1">
      <c r="A37" s="13"/>
      <c r="B37" s="13"/>
      <c r="C37" s="14"/>
      <c r="D37" s="14"/>
      <c r="E37" s="16"/>
      <c r="F37" s="15"/>
      <c r="G37" s="13"/>
    </row>
    <row r="38" spans="1:7" customFormat="1" ht="30.95">
      <c r="A38" s="13"/>
      <c r="B38" s="13"/>
      <c r="C38" s="14" t="s">
        <v>29</v>
      </c>
      <c r="D38" s="14"/>
      <c r="E38" s="16" t="s">
        <v>30</v>
      </c>
      <c r="F38" s="15"/>
      <c r="G38" s="13"/>
    </row>
    <row r="39" spans="1:7" customFormat="1">
      <c r="A39" s="13"/>
      <c r="B39" s="13"/>
      <c r="C39" s="14"/>
      <c r="D39" s="14"/>
      <c r="E39" s="16" t="s">
        <v>31</v>
      </c>
      <c r="F39" s="15"/>
      <c r="G39" s="13"/>
    </row>
    <row r="40" spans="1:7" customFormat="1">
      <c r="A40" s="13"/>
      <c r="B40" s="13"/>
      <c r="C40" s="14"/>
      <c r="D40" s="14"/>
      <c r="E40" s="16" t="s">
        <v>32</v>
      </c>
      <c r="F40" s="15"/>
      <c r="G40" s="13"/>
    </row>
    <row r="41" spans="1:7" customFormat="1">
      <c r="A41" s="13"/>
      <c r="B41" s="13"/>
      <c r="C41" s="14"/>
      <c r="D41" s="14"/>
      <c r="E41" s="16"/>
      <c r="F41" s="15"/>
      <c r="G41" s="13"/>
    </row>
    <row r="42" spans="1:7" customFormat="1">
      <c r="A42" s="13"/>
      <c r="B42" s="13"/>
      <c r="C42" s="54" t="s">
        <v>33</v>
      </c>
      <c r="D42" s="54"/>
      <c r="E42" s="55"/>
      <c r="F42" s="15"/>
      <c r="G42" s="13"/>
    </row>
    <row r="43" spans="1:7" customFormat="1" ht="30.95">
      <c r="A43" s="13"/>
      <c r="B43" s="13"/>
      <c r="C43" s="14" t="s">
        <v>34</v>
      </c>
      <c r="D43" s="14"/>
      <c r="E43" s="28"/>
      <c r="F43" s="15"/>
      <c r="G43" s="13"/>
    </row>
    <row r="44" spans="1:7" customFormat="1">
      <c r="A44" s="13"/>
      <c r="B44" s="13"/>
      <c r="C44" s="14"/>
      <c r="D44" s="14"/>
      <c r="E44" s="55"/>
      <c r="F44" s="15"/>
      <c r="G44" s="13"/>
    </row>
    <row r="45" spans="1:7" customFormat="1" ht="30.95">
      <c r="A45" s="13"/>
      <c r="B45" s="13"/>
      <c r="C45" s="14" t="s">
        <v>35</v>
      </c>
      <c r="D45" s="14"/>
      <c r="E45" s="26"/>
      <c r="F45" s="15"/>
      <c r="G45" s="13"/>
    </row>
    <row r="46" spans="1:7" customFormat="1">
      <c r="A46" s="13"/>
      <c r="B46" s="13"/>
      <c r="C46" s="14"/>
      <c r="D46" s="14"/>
      <c r="E46" s="55"/>
      <c r="F46" s="15"/>
      <c r="G46" s="13"/>
    </row>
    <row r="47" spans="1:7" customFormat="1" ht="30.95">
      <c r="A47" s="13"/>
      <c r="B47" s="13"/>
      <c r="C47" s="14" t="s">
        <v>36</v>
      </c>
      <c r="D47" s="14"/>
      <c r="E47" s="28"/>
      <c r="F47" s="15"/>
      <c r="G47" s="13"/>
    </row>
    <row r="48" spans="1:7" customFormat="1">
      <c r="A48" s="13"/>
      <c r="B48" s="13"/>
      <c r="C48" s="14"/>
      <c r="D48" s="14"/>
      <c r="E48" s="55"/>
      <c r="F48" s="15"/>
      <c r="G48" s="13"/>
    </row>
    <row r="49" spans="1:8" customFormat="1" ht="30.95">
      <c r="A49" s="13"/>
      <c r="B49" s="13"/>
      <c r="C49" s="14" t="s">
        <v>37</v>
      </c>
      <c r="D49" s="14"/>
      <c r="E49" s="27"/>
      <c r="F49" s="15"/>
      <c r="G49" s="13"/>
    </row>
    <row r="50" spans="1:8" customFormat="1">
      <c r="A50" s="13"/>
      <c r="B50" s="13"/>
      <c r="C50" s="54"/>
      <c r="D50" s="54"/>
      <c r="E50" s="55"/>
      <c r="F50" s="15"/>
      <c r="G50" s="13"/>
      <c r="H50" s="13"/>
    </row>
    <row r="51" spans="1:8" customFormat="1" ht="30.95">
      <c r="A51" s="13"/>
      <c r="B51" s="13"/>
      <c r="C51" s="14" t="s">
        <v>38</v>
      </c>
      <c r="D51" s="54"/>
      <c r="E51" s="27"/>
      <c r="F51" s="15"/>
      <c r="G51" s="13"/>
      <c r="H51" s="13"/>
    </row>
    <row r="52" spans="1:8" customFormat="1">
      <c r="A52" s="13"/>
      <c r="B52" s="13"/>
      <c r="C52" s="54"/>
      <c r="D52" s="54"/>
      <c r="E52" s="55"/>
      <c r="F52" s="15"/>
      <c r="G52" s="13"/>
      <c r="H52" s="13"/>
    </row>
    <row r="53" spans="1:8" customFormat="1">
      <c r="A53" s="13"/>
      <c r="B53" s="13"/>
      <c r="C53" s="54" t="s">
        <v>31</v>
      </c>
      <c r="D53" s="54"/>
      <c r="E53" s="55"/>
      <c r="F53" s="15"/>
      <c r="G53" s="13"/>
      <c r="H53" s="13"/>
    </row>
    <row r="54" spans="1:8" customFormat="1">
      <c r="A54" s="13"/>
      <c r="B54" s="13"/>
      <c r="C54" s="54"/>
      <c r="D54" s="54"/>
      <c r="E54" s="55"/>
      <c r="F54" s="15"/>
      <c r="G54" s="13"/>
      <c r="H54" s="13"/>
    </row>
    <row r="55" spans="1:8" customFormat="1">
      <c r="A55" s="13"/>
      <c r="B55" s="13"/>
      <c r="C55" s="14" t="s">
        <v>39</v>
      </c>
      <c r="D55" s="14"/>
      <c r="E55" s="27"/>
      <c r="F55" s="15"/>
      <c r="G55" s="13"/>
      <c r="H55" s="13"/>
    </row>
    <row r="56" spans="1:8" customFormat="1">
      <c r="A56" s="13"/>
      <c r="B56" s="13"/>
      <c r="C56" s="54"/>
      <c r="D56" s="54"/>
      <c r="E56" s="55"/>
      <c r="F56" s="15"/>
      <c r="G56" s="13"/>
      <c r="H56" s="13"/>
    </row>
    <row r="57" spans="1:8" customFormat="1">
      <c r="A57" s="13"/>
      <c r="B57" s="13"/>
      <c r="C57" s="54" t="s">
        <v>40</v>
      </c>
      <c r="D57" s="54"/>
      <c r="E57" s="55"/>
      <c r="F57" s="15"/>
      <c r="G57" s="13"/>
      <c r="H57" s="13"/>
    </row>
    <row r="58" spans="1:8" customFormat="1">
      <c r="A58" s="13"/>
      <c r="B58" s="13"/>
      <c r="C58" s="54"/>
      <c r="D58" s="54"/>
      <c r="E58" s="55"/>
      <c r="F58" s="15"/>
      <c r="G58" s="13"/>
      <c r="H58" s="13"/>
    </row>
    <row r="59" spans="1:8" customFormat="1">
      <c r="A59" s="13"/>
      <c r="B59" s="13"/>
      <c r="C59" s="14" t="s">
        <v>39</v>
      </c>
      <c r="D59" s="14"/>
      <c r="E59" s="27"/>
      <c r="F59" s="15"/>
      <c r="G59" s="13"/>
      <c r="H59" s="13"/>
    </row>
    <row r="60" spans="1:8" customFormat="1" ht="15" customHeight="1">
      <c r="A60" s="13"/>
      <c r="B60" s="13"/>
      <c r="C60" s="54"/>
      <c r="D60" s="54"/>
      <c r="E60" s="55"/>
      <c r="F60" s="15"/>
      <c r="G60" s="13"/>
      <c r="H60" s="13"/>
    </row>
    <row r="61" spans="1:8" customFormat="1" ht="14.45" customHeight="1">
      <c r="A61" s="13"/>
      <c r="B61" s="13"/>
      <c r="C61" s="14"/>
      <c r="D61" s="14"/>
      <c r="E61" s="16"/>
      <c r="F61" s="15"/>
      <c r="G61" s="13"/>
      <c r="H61" s="13"/>
    </row>
    <row r="62" spans="1:8" customFormat="1" ht="18.600000000000001">
      <c r="A62" s="13"/>
      <c r="B62" s="13"/>
      <c r="C62" s="277" t="s">
        <v>41</v>
      </c>
      <c r="D62" s="277"/>
      <c r="E62" s="277"/>
      <c r="F62" s="58"/>
      <c r="G62" s="13"/>
      <c r="H62" s="13"/>
    </row>
    <row r="63" spans="1:8" customFormat="1" ht="24.6" customHeight="1">
      <c r="A63" s="13"/>
      <c r="B63" s="13"/>
      <c r="C63" s="276" t="s">
        <v>42</v>
      </c>
      <c r="D63" s="276"/>
      <c r="E63" s="276"/>
      <c r="F63" s="276"/>
      <c r="G63" s="13"/>
      <c r="H63" s="13"/>
    </row>
    <row r="64" spans="1:8" customFormat="1">
      <c r="A64" s="13"/>
      <c r="B64" s="13"/>
      <c r="C64" s="14"/>
      <c r="D64" s="14"/>
      <c r="E64" s="16"/>
      <c r="F64" s="15"/>
      <c r="G64" s="13"/>
      <c r="H64" s="13"/>
    </row>
    <row r="65" spans="1:8" customFormat="1" ht="27" customHeight="1">
      <c r="A65" s="13"/>
      <c r="B65" s="13"/>
      <c r="C65" s="14" t="s">
        <v>43</v>
      </c>
      <c r="D65" s="14"/>
      <c r="E65" s="16" t="s">
        <v>44</v>
      </c>
      <c r="F65" s="15"/>
      <c r="G65" s="13"/>
      <c r="H65" s="13"/>
    </row>
    <row r="66" spans="1:8" customFormat="1">
      <c r="A66" s="13"/>
      <c r="B66" s="13"/>
      <c r="C66" s="14"/>
      <c r="D66" s="14"/>
      <c r="E66" s="16" t="s">
        <v>45</v>
      </c>
      <c r="F66" s="15"/>
      <c r="G66" s="13"/>
      <c r="H66" s="13"/>
    </row>
    <row r="67" spans="1:8" customFormat="1">
      <c r="A67" s="13"/>
      <c r="B67" s="13"/>
      <c r="C67" s="14"/>
      <c r="D67" s="14"/>
      <c r="E67" s="16"/>
      <c r="F67" s="15"/>
      <c r="G67" s="13"/>
      <c r="H67" s="13"/>
    </row>
    <row r="68" spans="1:8" customFormat="1">
      <c r="A68" s="13"/>
      <c r="B68" s="13"/>
      <c r="C68" s="54" t="s">
        <v>44</v>
      </c>
      <c r="D68" s="54"/>
      <c r="E68" s="16"/>
      <c r="F68" s="15"/>
      <c r="G68" s="13"/>
      <c r="H68" s="13"/>
    </row>
    <row r="69" spans="1:8" customFormat="1">
      <c r="A69" s="13"/>
      <c r="B69" s="13"/>
      <c r="C69" s="54"/>
      <c r="D69" s="54"/>
      <c r="E69" s="16"/>
      <c r="F69" s="15"/>
      <c r="G69" s="13"/>
      <c r="H69" s="13"/>
    </row>
    <row r="70" spans="1:8" customFormat="1">
      <c r="A70" s="13"/>
      <c r="B70" s="13"/>
      <c r="C70" s="14" t="s">
        <v>46</v>
      </c>
      <c r="D70" s="14"/>
      <c r="E70" s="26"/>
      <c r="F70" s="15"/>
      <c r="G70" s="13"/>
      <c r="H70" s="13"/>
    </row>
    <row r="71" spans="1:8" customFormat="1">
      <c r="A71" s="13"/>
      <c r="B71" s="13"/>
      <c r="C71" s="14"/>
      <c r="D71" s="14"/>
      <c r="E71" s="16"/>
      <c r="F71" s="15"/>
      <c r="G71" s="13"/>
      <c r="H71" s="13"/>
    </row>
    <row r="72" spans="1:8" customFormat="1">
      <c r="A72" s="13"/>
      <c r="B72" s="13"/>
      <c r="C72" s="14" t="s">
        <v>47</v>
      </c>
      <c r="D72" s="14"/>
      <c r="E72" s="27"/>
      <c r="F72" s="15"/>
      <c r="G72" s="13"/>
      <c r="H72" s="13"/>
    </row>
    <row r="73" spans="1:8" customFormat="1">
      <c r="A73" s="13"/>
      <c r="B73" s="13"/>
      <c r="C73" s="14"/>
      <c r="D73" s="14"/>
      <c r="E73" s="16"/>
      <c r="F73" s="15"/>
      <c r="G73" s="13"/>
      <c r="H73" s="13"/>
    </row>
    <row r="74" spans="1:8" customFormat="1">
      <c r="A74" s="13"/>
      <c r="B74" s="13"/>
      <c r="C74" s="14"/>
      <c r="D74" s="14"/>
      <c r="E74" s="16"/>
      <c r="F74" s="15"/>
      <c r="G74" s="13"/>
      <c r="H74" s="13"/>
    </row>
    <row r="75" spans="1:8" customFormat="1">
      <c r="A75" s="13"/>
      <c r="B75" s="13"/>
      <c r="C75" s="54" t="s">
        <v>45</v>
      </c>
      <c r="D75" s="54"/>
      <c r="E75" s="16"/>
      <c r="F75" s="15"/>
      <c r="G75" s="13"/>
    </row>
    <row r="76" spans="1:8" customFormat="1">
      <c r="A76" s="13"/>
      <c r="B76" s="13"/>
      <c r="C76" s="54"/>
      <c r="D76" s="54"/>
      <c r="E76" s="16"/>
      <c r="F76" s="15"/>
      <c r="G76" s="13"/>
    </row>
    <row r="77" spans="1:8" customFormat="1">
      <c r="A77" s="13"/>
      <c r="B77" s="13"/>
      <c r="C77" s="14" t="s">
        <v>48</v>
      </c>
      <c r="D77" s="14"/>
      <c r="E77" s="28"/>
      <c r="F77" s="15"/>
      <c r="G77" s="13"/>
    </row>
    <row r="78" spans="1:8" customFormat="1">
      <c r="A78" s="13"/>
      <c r="B78" s="13"/>
      <c r="C78" s="14"/>
      <c r="D78" s="14"/>
      <c r="E78" s="56"/>
      <c r="F78" s="15"/>
      <c r="G78" s="13"/>
    </row>
    <row r="79" spans="1:8" customFormat="1" ht="30.95">
      <c r="A79" s="13"/>
      <c r="B79" s="13"/>
      <c r="C79" s="14" t="s">
        <v>49</v>
      </c>
      <c r="D79" s="14"/>
      <c r="E79" s="28"/>
      <c r="F79" s="15"/>
      <c r="G79" s="13"/>
    </row>
    <row r="80" spans="1:8" customFormat="1">
      <c r="A80" s="13"/>
      <c r="B80" s="13"/>
      <c r="C80" s="14"/>
      <c r="D80" s="14"/>
      <c r="E80" s="56"/>
      <c r="F80" s="15"/>
      <c r="G80" s="13"/>
    </row>
    <row r="81" spans="1:7" customFormat="1">
      <c r="A81" s="13"/>
      <c r="B81" s="13"/>
      <c r="C81" s="14" t="s">
        <v>50</v>
      </c>
      <c r="D81" s="14"/>
      <c r="E81" s="27"/>
      <c r="F81" s="15"/>
      <c r="G81" s="13"/>
    </row>
    <row r="82" spans="1:7" customFormat="1">
      <c r="A82" s="13"/>
      <c r="B82" s="13"/>
      <c r="C82" s="14"/>
      <c r="D82" s="14"/>
      <c r="E82" s="16"/>
      <c r="F82" s="15"/>
      <c r="G82" s="13"/>
    </row>
    <row r="83" spans="1:7" customFormat="1">
      <c r="A83" s="13"/>
      <c r="B83" s="13"/>
      <c r="C83" s="14" t="s">
        <v>51</v>
      </c>
      <c r="D83" s="14"/>
      <c r="E83" s="27"/>
      <c r="F83" s="15"/>
      <c r="G83" s="13"/>
    </row>
    <row r="84" spans="1:7"/>
    <row r="85" spans="1:7" ht="30.95">
      <c r="C85" s="14" t="s">
        <v>52</v>
      </c>
      <c r="E85" s="28"/>
    </row>
    <row r="86" spans="1:7"/>
    <row r="87" spans="1:7"/>
    <row r="88" spans="1:7"/>
    <row r="89" spans="1:7"/>
    <row r="90" spans="1:7"/>
    <row r="91" spans="1:7"/>
    <row r="92" spans="1:7"/>
  </sheetData>
  <mergeCells count="11">
    <mergeCell ref="C36:F36"/>
    <mergeCell ref="C63:F63"/>
    <mergeCell ref="C62:E62"/>
    <mergeCell ref="C5:E5"/>
    <mergeCell ref="C3:F3"/>
    <mergeCell ref="C4:F4"/>
    <mergeCell ref="C27:F27"/>
    <mergeCell ref="C26:E26"/>
    <mergeCell ref="C35:E35"/>
    <mergeCell ref="C8:E8"/>
    <mergeCell ref="C10:E10"/>
  </mergeCells>
  <dataValidations count="1">
    <dataValidation type="list" allowBlank="1" showInputMessage="1" showErrorMessage="1" sqref="E41 E68:E69" xr:uid="{46FDDDCE-06AA-489E-B724-C284BC73E089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3</xdr:col>
                    <xdr:colOff>1308100</xdr:colOff>
                    <xdr:row>37</xdr:row>
                    <xdr:rowOff>222250</xdr:rowOff>
                  </from>
                  <to>
                    <xdr:col>4</xdr:col>
                    <xdr:colOff>476250</xdr:colOff>
                    <xdr:row>38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3</xdr:col>
                    <xdr:colOff>1308100</xdr:colOff>
                    <xdr:row>38</xdr:row>
                    <xdr:rowOff>12700</xdr:rowOff>
                  </from>
                  <to>
                    <xdr:col>4</xdr:col>
                    <xdr:colOff>488950</xdr:colOff>
                    <xdr:row>39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3</xdr:col>
                    <xdr:colOff>1308100</xdr:colOff>
                    <xdr:row>39</xdr:row>
                    <xdr:rowOff>0</xdr:rowOff>
                  </from>
                  <to>
                    <xdr:col>4</xdr:col>
                    <xdr:colOff>488950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Check Box 9">
              <controlPr defaultSize="0" autoFill="0" autoLine="0" autoPict="0">
                <anchor moveWithCells="1">
                  <from>
                    <xdr:col>3</xdr:col>
                    <xdr:colOff>1276350</xdr:colOff>
                    <xdr:row>64</xdr:row>
                    <xdr:rowOff>203200</xdr:rowOff>
                  </from>
                  <to>
                    <xdr:col>4</xdr:col>
                    <xdr:colOff>444500</xdr:colOff>
                    <xdr:row>65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>
                <anchor moveWithCells="1">
                  <from>
                    <xdr:col>3</xdr:col>
                    <xdr:colOff>1289050</xdr:colOff>
                    <xdr:row>65</xdr:row>
                    <xdr:rowOff>12700</xdr:rowOff>
                  </from>
                  <to>
                    <xdr:col>4</xdr:col>
                    <xdr:colOff>514350</xdr:colOff>
                    <xdr:row>66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6FC01-52BD-4E76-85CD-50A3E39BA38B}">
  <sheetPr codeName="Sheet3"/>
  <dimension ref="C1:H32"/>
  <sheetViews>
    <sheetView tabSelected="1" topLeftCell="A9" zoomScale="130" zoomScaleNormal="130" workbookViewId="0">
      <selection activeCell="E22" sqref="E22"/>
    </sheetView>
  </sheetViews>
  <sheetFormatPr defaultColWidth="3.28515625" defaultRowHeight="15.6" zeroHeight="1"/>
  <cols>
    <col min="1" max="1" width="4.140625" style="13" customWidth="1"/>
    <col min="2" max="2" width="4.42578125" style="13" customWidth="1"/>
    <col min="3" max="3" width="56.140625" style="14" customWidth="1"/>
    <col min="4" max="4" width="23.5703125" style="14" customWidth="1"/>
    <col min="5" max="5" width="29.85546875" style="16" customWidth="1"/>
    <col min="6" max="6" width="9.5703125" style="13" customWidth="1"/>
    <col min="7" max="7" width="8.7109375" style="13" customWidth="1"/>
    <col min="8" max="8" width="9.85546875" style="13" hidden="1" customWidth="1"/>
    <col min="9" max="16372" width="0" style="13" hidden="1" customWidth="1"/>
    <col min="16373" max="16373" width="3" style="13" customWidth="1"/>
    <col min="16374" max="16374" width="1.5703125" style="13" customWidth="1"/>
    <col min="16375" max="16375" width="2.42578125" style="13" customWidth="1"/>
    <col min="16376" max="16376" width="2.7109375" style="13" customWidth="1"/>
    <col min="16377" max="16377" width="3" style="13" customWidth="1"/>
    <col min="16378" max="16378" width="3.7109375" style="13" customWidth="1"/>
    <col min="16379" max="16379" width="4.140625" style="13" customWidth="1"/>
    <col min="16380" max="16380" width="3.28515625" style="13" customWidth="1"/>
    <col min="16381" max="16382" width="5.42578125" style="13" customWidth="1"/>
    <col min="16383" max="16383" width="6" style="13" customWidth="1"/>
    <col min="16384" max="16384" width="5.140625" style="13" customWidth="1"/>
  </cols>
  <sheetData>
    <row r="1" spans="3:7"/>
    <row r="2" spans="3:7"/>
    <row r="3" spans="3:7" ht="23.45">
      <c r="C3" s="272" t="s">
        <v>0</v>
      </c>
      <c r="D3" s="272"/>
      <c r="E3" s="272"/>
      <c r="F3" s="272"/>
      <c r="G3" s="57"/>
    </row>
    <row r="4" spans="3:7" ht="23.45">
      <c r="C4" s="272" t="s">
        <v>53</v>
      </c>
      <c r="D4" s="272"/>
      <c r="E4" s="272"/>
      <c r="F4" s="272"/>
      <c r="G4" s="57"/>
    </row>
    <row r="5" spans="3:7" ht="18.600000000000001">
      <c r="C5" s="51"/>
      <c r="D5" s="51"/>
      <c r="E5" s="51"/>
      <c r="F5" s="58"/>
      <c r="G5" s="58"/>
    </row>
    <row r="6" spans="3:7" ht="7.5" customHeight="1">
      <c r="C6" s="47"/>
      <c r="D6" s="47"/>
      <c r="E6" s="47"/>
      <c r="F6" s="58"/>
      <c r="G6" s="47"/>
    </row>
    <row r="7" spans="3:7" ht="12" customHeight="1">
      <c r="C7" s="47"/>
      <c r="D7" s="47"/>
      <c r="E7" s="47"/>
      <c r="F7" s="58"/>
      <c r="G7" s="47"/>
    </row>
    <row r="8" spans="3:7" ht="15.6" customHeight="1">
      <c r="C8" s="273" t="s">
        <v>54</v>
      </c>
      <c r="D8" s="273"/>
      <c r="E8" s="273"/>
      <c r="F8" s="58"/>
      <c r="G8" s="60"/>
    </row>
    <row r="9" spans="3:7" ht="12.6" customHeight="1">
      <c r="C9" s="62"/>
      <c r="D9" s="62"/>
      <c r="E9" s="62"/>
      <c r="F9" s="58"/>
      <c r="G9" s="60"/>
    </row>
    <row r="10" spans="3:7" ht="18.600000000000001" customHeight="1">
      <c r="C10" s="274" t="s">
        <v>55</v>
      </c>
      <c r="D10" s="274"/>
      <c r="E10" s="274"/>
      <c r="F10" s="58"/>
      <c r="G10" s="61"/>
    </row>
    <row r="11" spans="3:7" ht="18.600000000000001">
      <c r="C11" s="126"/>
      <c r="D11" s="126"/>
      <c r="E11" s="126"/>
      <c r="F11" s="58"/>
      <c r="G11" s="61"/>
    </row>
    <row r="12" spans="3:7" ht="21.6" customHeight="1">
      <c r="C12" s="14" t="s">
        <v>17</v>
      </c>
      <c r="E12" s="132" t="str">
        <f>application_name</f>
        <v xml:space="preserve">  </v>
      </c>
      <c r="F12" s="58"/>
    </row>
    <row r="13" spans="3:7" ht="21.6" customHeight="1">
      <c r="E13" s="131"/>
      <c r="F13" s="58"/>
    </row>
    <row r="14" spans="3:7" ht="32.1">
      <c r="C14" s="14" t="s">
        <v>56</v>
      </c>
      <c r="E14" s="26"/>
      <c r="F14" s="58"/>
    </row>
    <row r="15" spans="3:7" ht="18.600000000000001">
      <c r="F15" s="58"/>
    </row>
    <row r="16" spans="3:7" ht="32.1">
      <c r="C16" s="14" t="s">
        <v>57</v>
      </c>
      <c r="E16" s="88"/>
      <c r="F16" s="58"/>
    </row>
    <row r="17" spans="3:6" ht="18.600000000000001">
      <c r="F17" s="58"/>
    </row>
    <row r="18" spans="3:6" ht="32.1">
      <c r="C18" s="14" t="s">
        <v>58</v>
      </c>
      <c r="E18" s="26"/>
      <c r="F18" s="58"/>
    </row>
    <row r="19" spans="3:6" ht="18.600000000000001">
      <c r="F19" s="58"/>
    </row>
    <row r="20" spans="3:6" ht="32.1">
      <c r="C20" s="14" t="s">
        <v>59</v>
      </c>
      <c r="E20" s="88"/>
      <c r="F20" s="58"/>
    </row>
    <row r="21" spans="3:6" ht="18.600000000000001">
      <c r="F21" s="58"/>
    </row>
    <row r="22" spans="3:6" ht="30.95">
      <c r="C22" s="14" t="s">
        <v>60</v>
      </c>
      <c r="E22" s="261"/>
    </row>
    <row r="23" spans="3:6"/>
    <row r="24" spans="3:6" ht="30.95">
      <c r="C24" s="14" t="s">
        <v>61</v>
      </c>
      <c r="E24" s="26"/>
    </row>
    <row r="25" spans="3:6"/>
    <row r="26" spans="3:6"/>
    <row r="27" spans="3:6"/>
    <row r="28" spans="3:6"/>
    <row r="29" spans="3:6"/>
    <row r="30" spans="3:6"/>
    <row r="31" spans="3:6"/>
    <row r="32" spans="3:6"/>
  </sheetData>
  <mergeCells count="4">
    <mergeCell ref="C3:F3"/>
    <mergeCell ref="C4:F4"/>
    <mergeCell ref="C8:E8"/>
    <mergeCell ref="C10:E10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EBC79-E8AF-4D8E-8464-2D91AD290EDF}">
  <sheetPr codeName="Sheet4"/>
  <dimension ref="A1:O232"/>
  <sheetViews>
    <sheetView topLeftCell="A55" zoomScaleNormal="100" zoomScaleSheetLayoutView="90" workbookViewId="0">
      <selection activeCell="F17" sqref="F17"/>
    </sheetView>
  </sheetViews>
  <sheetFormatPr defaultColWidth="0" defaultRowHeight="15.6"/>
  <cols>
    <col min="1" max="1" width="4.7109375" style="13" customWidth="1"/>
    <col min="2" max="2" width="4.140625" style="13" customWidth="1"/>
    <col min="3" max="3" width="76.5703125" style="16" customWidth="1"/>
    <col min="4" max="4" width="2.42578125" style="13" hidden="1" customWidth="1"/>
    <col min="5" max="5" width="30" style="13" customWidth="1"/>
    <col min="6" max="6" width="31" style="13" customWidth="1"/>
    <col min="7" max="7" width="25.42578125" style="13" customWidth="1"/>
    <col min="8" max="8" width="20.42578125" style="13" bestFit="1" customWidth="1"/>
    <col min="9" max="9" width="9.85546875" style="13" customWidth="1"/>
    <col min="10" max="10" width="4" hidden="1" customWidth="1"/>
    <col min="11" max="11" width="37.42578125" hidden="1" customWidth="1"/>
    <col min="12" max="12" width="27.42578125" hidden="1" customWidth="1"/>
    <col min="13" max="15" width="18.5703125" hidden="1" customWidth="1"/>
    <col min="16" max="16384" width="8.7109375" hidden="1"/>
  </cols>
  <sheetData>
    <row r="1" spans="3:8" s="13" customFormat="1">
      <c r="C1" s="16"/>
    </row>
    <row r="2" spans="3:8" s="13" customFormat="1">
      <c r="C2" s="16"/>
    </row>
    <row r="3" spans="3:8" ht="23.45">
      <c r="C3" s="279" t="s">
        <v>0</v>
      </c>
      <c r="D3" s="279"/>
      <c r="E3" s="279"/>
      <c r="F3" s="279"/>
      <c r="G3" s="279"/>
      <c r="H3" s="279"/>
    </row>
    <row r="4" spans="3:8" ht="23.45">
      <c r="C4" s="279" t="s">
        <v>62</v>
      </c>
      <c r="D4" s="279"/>
      <c r="E4" s="279"/>
      <c r="F4" s="279"/>
      <c r="G4" s="279"/>
      <c r="H4" s="279"/>
    </row>
    <row r="5" spans="3:8" ht="18.600000000000001">
      <c r="C5" s="51"/>
      <c r="D5" s="51"/>
      <c r="E5" s="51"/>
      <c r="F5" s="51"/>
      <c r="G5" s="59"/>
      <c r="H5" s="59"/>
    </row>
    <row r="6" spans="3:8" s="13" customFormat="1" ht="15.6" customHeight="1">
      <c r="C6" s="45"/>
    </row>
    <row r="7" spans="3:8" s="13" customFormat="1" ht="15.6" customHeight="1">
      <c r="C7" s="45"/>
    </row>
    <row r="8" spans="3:8" s="13" customFormat="1" ht="15.6" customHeight="1">
      <c r="C8" s="176" t="s">
        <v>63</v>
      </c>
      <c r="D8" s="176"/>
      <c r="E8" s="177" t="str">
        <f>application_name</f>
        <v xml:space="preserve">  </v>
      </c>
    </row>
    <row r="9" spans="3:8" s="13" customFormat="1" ht="15.6" customHeight="1">
      <c r="C9" s="45"/>
    </row>
    <row r="10" spans="3:8" s="13" customFormat="1" ht="15.6" customHeight="1">
      <c r="C10" s="45"/>
    </row>
    <row r="11" spans="3:8" ht="18.95" customHeight="1">
      <c r="C11" s="64" t="s">
        <v>64</v>
      </c>
      <c r="D11" s="63"/>
      <c r="E11" s="175">
        <f ca="1">TODAY()</f>
        <v>46134</v>
      </c>
      <c r="G11" s="189">
        <f ca="1">current_date+365</f>
        <v>46499</v>
      </c>
      <c r="H11" s="189">
        <f ca="1">G11+365</f>
        <v>46864</v>
      </c>
    </row>
    <row r="12" spans="3:8" ht="14.45">
      <c r="C12" s="64" t="s">
        <v>65</v>
      </c>
      <c r="D12" s="63"/>
      <c r="E12" s="65">
        <f>'Costos Negocio'!E16</f>
        <v>0</v>
      </c>
      <c r="F12" s="66"/>
    </row>
    <row r="13" spans="3:8" ht="14.45">
      <c r="C13" s="64" t="s">
        <v>66</v>
      </c>
      <c r="D13" s="63"/>
      <c r="E13" s="63">
        <v>30</v>
      </c>
      <c r="F13" s="66"/>
    </row>
    <row r="14" spans="3:8" ht="14.45">
      <c r="C14" s="64" t="s">
        <v>67</v>
      </c>
      <c r="D14" s="63"/>
      <c r="E14" s="63">
        <v>12</v>
      </c>
      <c r="F14" s="66"/>
    </row>
    <row r="15" spans="3:8" ht="14.45">
      <c r="C15" s="64" t="s">
        <v>68</v>
      </c>
      <c r="D15" s="63"/>
      <c r="E15" s="67">
        <f>(total_cloud_cost_1_year/months_of_year)*months_of_the_initial_investment</f>
        <v>0</v>
      </c>
    </row>
    <row r="16" spans="3:8" ht="14.45">
      <c r="C16" s="64"/>
      <c r="D16" s="63"/>
      <c r="E16" s="65"/>
      <c r="F16" s="66"/>
    </row>
    <row r="17" spans="3:7" ht="14.45">
      <c r="C17" s="13"/>
      <c r="F17" s="66"/>
    </row>
    <row r="18" spans="3:7">
      <c r="C18" s="16" t="s">
        <v>69</v>
      </c>
      <c r="D18" s="269">
        <v>3</v>
      </c>
      <c r="E18" s="269">
        <v>3</v>
      </c>
      <c r="F18" s="66"/>
    </row>
    <row r="19" spans="3:7">
      <c r="D19" s="149"/>
      <c r="E19" s="263"/>
      <c r="F19" s="66"/>
    </row>
    <row r="20" spans="3:7" ht="23.45">
      <c r="C20" s="278" t="s">
        <v>70</v>
      </c>
      <c r="D20" s="278"/>
      <c r="E20" s="278"/>
      <c r="F20" s="278"/>
      <c r="G20" s="278"/>
    </row>
    <row r="21" spans="3:7" ht="14.45">
      <c r="C21" s="13"/>
      <c r="F21" s="66"/>
    </row>
    <row r="22" spans="3:7" ht="18.600000000000001">
      <c r="C22" s="268" t="s">
        <v>71</v>
      </c>
      <c r="F22" s="66"/>
    </row>
    <row r="23" spans="3:7" ht="14.45">
      <c r="C23" s="13"/>
    </row>
    <row r="24" spans="3:7" ht="14.1" customHeight="1">
      <c r="C24" s="16" t="s">
        <v>72</v>
      </c>
      <c r="D24" s="262"/>
      <c r="E24" s="266"/>
      <c r="F24" s="66"/>
    </row>
    <row r="25" spans="3:7" ht="14.1" customHeight="1">
      <c r="D25" s="262"/>
      <c r="E25" s="263"/>
      <c r="F25" s="66"/>
    </row>
    <row r="26" spans="3:7">
      <c r="C26" s="16" t="s">
        <v>73</v>
      </c>
      <c r="D26" s="262"/>
      <c r="E26" s="266"/>
      <c r="F26" s="66"/>
    </row>
    <row r="27" spans="3:7">
      <c r="F27" s="66"/>
    </row>
    <row r="28" spans="3:7" ht="14.45">
      <c r="C28" s="13"/>
      <c r="F28" s="66"/>
    </row>
    <row r="29" spans="3:7">
      <c r="C29" s="80"/>
      <c r="F29" s="66"/>
    </row>
    <row r="30" spans="3:7" ht="18.600000000000001">
      <c r="C30" s="268" t="s">
        <v>74</v>
      </c>
      <c r="F30" s="66"/>
    </row>
    <row r="31" spans="3:7">
      <c r="C31" s="80"/>
      <c r="F31" s="66"/>
    </row>
    <row r="32" spans="3:7">
      <c r="C32" s="16" t="s">
        <v>75</v>
      </c>
      <c r="E32" s="198">
        <v>0.3</v>
      </c>
      <c r="F32" s="66"/>
    </row>
    <row r="33" spans="3:6">
      <c r="E33" s="196"/>
      <c r="F33" s="66"/>
    </row>
    <row r="34" spans="3:6" ht="15.6" customHeight="1">
      <c r="C34" s="16" t="s">
        <v>76</v>
      </c>
      <c r="E34" s="199"/>
    </row>
    <row r="35" spans="3:6" ht="15.6" customHeight="1">
      <c r="E35" s="165"/>
    </row>
    <row r="36" spans="3:6" s="13" customFormat="1" ht="15.6" customHeight="1">
      <c r="C36" s="16" t="s">
        <v>77</v>
      </c>
      <c r="E36" s="200"/>
    </row>
    <row r="37" spans="3:6" s="13" customFormat="1" ht="15.6" customHeight="1">
      <c r="C37" s="16"/>
      <c r="E37" s="81"/>
    </row>
    <row r="38" spans="3:6" s="13" customFormat="1" ht="15.6" customHeight="1">
      <c r="C38" s="16" t="s">
        <v>78</v>
      </c>
      <c r="E38" s="207"/>
    </row>
    <row r="39" spans="3:6" s="13" customFormat="1" ht="15.6" customHeight="1">
      <c r="C39" s="16"/>
      <c r="E39" s="81"/>
    </row>
    <row r="40" spans="3:6" s="13" customFormat="1" ht="15.6" customHeight="1">
      <c r="C40" s="16" t="s">
        <v>79</v>
      </c>
      <c r="E40" s="267"/>
    </row>
    <row r="41" spans="3:6" s="13" customFormat="1" ht="15.6" customHeight="1">
      <c r="C41" s="16"/>
      <c r="E41" s="196"/>
    </row>
    <row r="42" spans="3:6" s="13" customFormat="1" ht="15.6" customHeight="1">
      <c r="C42" s="16" t="s">
        <v>80</v>
      </c>
      <c r="E42" s="265"/>
    </row>
    <row r="43" spans="3:6" s="13" customFormat="1" ht="15.6" customHeight="1">
      <c r="C43" s="16"/>
      <c r="E43" s="197"/>
    </row>
    <row r="44" spans="3:6" s="13" customFormat="1" ht="15.6" customHeight="1">
      <c r="C44" s="16" t="s">
        <v>81</v>
      </c>
      <c r="E44" s="265"/>
    </row>
    <row r="45" spans="3:6" s="13" customFormat="1" ht="15.6" customHeight="1">
      <c r="C45" s="16"/>
      <c r="E45" s="264"/>
    </row>
    <row r="46" spans="3:6" s="13" customFormat="1" ht="15.6" customHeight="1">
      <c r="C46" s="16"/>
    </row>
    <row r="47" spans="3:6" s="13" customFormat="1" ht="15.6" customHeight="1">
      <c r="C47" s="16"/>
    </row>
    <row r="48" spans="3:6" s="13" customFormat="1" ht="15.6" customHeight="1">
      <c r="C48" s="2"/>
    </row>
    <row r="49" spans="3:8" s="13" customFormat="1" ht="20.100000000000001" customHeight="1">
      <c r="C49" s="278" t="s">
        <v>82</v>
      </c>
      <c r="D49" s="278"/>
      <c r="E49" s="278"/>
      <c r="F49" s="278"/>
      <c r="G49" s="278"/>
    </row>
    <row r="50" spans="3:8" s="13" customFormat="1">
      <c r="C50" s="45"/>
    </row>
    <row r="51" spans="3:8" s="13" customFormat="1">
      <c r="C51" s="45"/>
    </row>
    <row r="52" spans="3:8" ht="15.6" customHeight="1">
      <c r="C52" s="211" t="s">
        <v>83</v>
      </c>
      <c r="D52" s="210" t="s">
        <v>84</v>
      </c>
      <c r="E52" s="209" t="s">
        <v>85</v>
      </c>
    </row>
    <row r="53" spans="3:8" ht="15.6" customHeight="1">
      <c r="C53" s="68" t="s">
        <v>86</v>
      </c>
      <c r="D53" s="69"/>
      <c r="E53" s="70"/>
    </row>
    <row r="54" spans="3:8" ht="15.95" customHeight="1">
      <c r="C54" s="2" t="s">
        <v>87</v>
      </c>
      <c r="D54" s="69" t="s">
        <v>88</v>
      </c>
      <c r="E54" s="70">
        <f>average_many_it_employees*average_hourly_cost_it_employee_monthly</f>
        <v>0</v>
      </c>
    </row>
    <row r="55" spans="3:8" ht="15.6" customHeight="1">
      <c r="C55" s="2" t="s">
        <v>89</v>
      </c>
      <c r="D55" s="69" t="s">
        <v>90</v>
      </c>
      <c r="E55" s="70">
        <f>it_salary_legacy_cost_monthly*months_of_year</f>
        <v>0</v>
      </c>
    </row>
    <row r="56" spans="3:8" ht="15" customHeight="1">
      <c r="C56" s="137" t="s">
        <v>91</v>
      </c>
      <c r="D56" s="138"/>
      <c r="E56" s="139"/>
    </row>
    <row r="57" spans="3:8" ht="17.100000000000001" customHeight="1">
      <c r="C57" s="16" t="s">
        <v>92</v>
      </c>
      <c r="D57" s="71" t="s">
        <v>93</v>
      </c>
      <c r="E57" s="81">
        <f>it_salary_legacy_cost_monthly*(1-it_operational_productivity)</f>
        <v>0</v>
      </c>
    </row>
    <row r="58" spans="3:8" ht="17.100000000000001" customHeight="1">
      <c r="C58" s="16" t="s">
        <v>94</v>
      </c>
      <c r="D58" s="71" t="s">
        <v>95</v>
      </c>
      <c r="E58" s="81">
        <f>E55*(1-E32)</f>
        <v>0</v>
      </c>
    </row>
    <row r="59" spans="3:8" ht="18" customHeight="1">
      <c r="C59" s="13"/>
    </row>
    <row r="61" spans="3:8" ht="16.5" customHeight="1">
      <c r="C61" s="278" t="s">
        <v>96</v>
      </c>
      <c r="D61" s="278"/>
      <c r="E61" s="278"/>
      <c r="F61" s="278"/>
      <c r="G61" s="278"/>
    </row>
    <row r="62" spans="3:8" ht="17.45" customHeight="1">
      <c r="C62" s="13"/>
    </row>
    <row r="64" spans="3:8">
      <c r="C64" s="212" t="s">
        <v>97</v>
      </c>
      <c r="D64" s="213" t="s">
        <v>84</v>
      </c>
      <c r="E64" s="214" t="s">
        <v>85</v>
      </c>
      <c r="F64" s="2"/>
      <c r="H64" s="86"/>
    </row>
    <row r="65" spans="3:8">
      <c r="C65" s="68" t="s">
        <v>86</v>
      </c>
      <c r="D65" s="69"/>
      <c r="E65" s="69"/>
      <c r="H65" s="86"/>
    </row>
    <row r="66" spans="3:8" ht="14.45">
      <c r="C66" s="13" t="s">
        <v>98</v>
      </c>
      <c r="D66" s="69"/>
      <c r="E66" s="72">
        <f>iaas_infrastructure_cost</f>
        <v>0</v>
      </c>
      <c r="H66" s="86"/>
    </row>
    <row r="67" spans="3:8" ht="15.95" customHeight="1">
      <c r="C67" s="13" t="s">
        <v>99</v>
      </c>
      <c r="D67" s="69" t="s">
        <v>100</v>
      </c>
      <c r="E67" s="72">
        <f>on_Premise_Invest</f>
        <v>0</v>
      </c>
      <c r="H67" s="86"/>
    </row>
    <row r="68" spans="3:8" ht="15" customHeight="1">
      <c r="C68" s="13" t="s">
        <v>101</v>
      </c>
      <c r="D68" s="69" t="s">
        <v>102</v>
      </c>
      <c r="E68" s="72">
        <f>On_Premise_operation</f>
        <v>0</v>
      </c>
      <c r="H68" s="86"/>
    </row>
    <row r="69" spans="3:8" ht="14.45">
      <c r="C69" s="13" t="s">
        <v>103</v>
      </c>
      <c r="D69" s="69"/>
      <c r="E69" s="72">
        <f>thrid_party_infrastructure_cost</f>
        <v>0</v>
      </c>
      <c r="H69" s="86"/>
    </row>
    <row r="70" spans="3:8" ht="14.1" customHeight="1">
      <c r="C70" s="133" t="s">
        <v>104</v>
      </c>
      <c r="D70" s="69"/>
      <c r="E70" s="72">
        <f>SUM(E66:E69)</f>
        <v>0</v>
      </c>
      <c r="H70" s="86"/>
    </row>
    <row r="71" spans="3:8" ht="14.1" customHeight="1">
      <c r="C71" s="140" t="s">
        <v>91</v>
      </c>
      <c r="D71" s="140"/>
      <c r="E71" s="140"/>
      <c r="H71" s="86"/>
    </row>
    <row r="72" spans="3:8" ht="14.1" customHeight="1">
      <c r="C72" s="13" t="s">
        <v>105</v>
      </c>
      <c r="D72" s="69" t="s">
        <v>106</v>
      </c>
      <c r="E72" s="161">
        <f>infrastructure_cloud_cost_1_year</f>
        <v>0</v>
      </c>
      <c r="H72" s="86"/>
    </row>
    <row r="73" spans="3:8" ht="14.1" customHeight="1">
      <c r="C73" s="13"/>
      <c r="H73" s="86"/>
    </row>
    <row r="74" spans="3:8" ht="14.1" customHeight="1">
      <c r="C74" s="13"/>
      <c r="D74" s="69"/>
      <c r="E74" s="161"/>
      <c r="H74" s="86"/>
    </row>
    <row r="75" spans="3:8" ht="19.5" customHeight="1">
      <c r="C75" s="278" t="s">
        <v>107</v>
      </c>
      <c r="D75" s="278"/>
      <c r="E75" s="278"/>
      <c r="F75" s="278"/>
      <c r="G75" s="278"/>
      <c r="H75" s="86"/>
    </row>
    <row r="76" spans="3:8" ht="14.1" customHeight="1">
      <c r="C76" s="13"/>
      <c r="D76" s="69"/>
      <c r="E76" s="161"/>
      <c r="H76" s="86"/>
    </row>
    <row r="77" spans="3:8" ht="14.45">
      <c r="C77" s="13"/>
      <c r="H77" s="86"/>
    </row>
    <row r="78" spans="3:8">
      <c r="C78" s="214" t="s">
        <v>108</v>
      </c>
      <c r="D78" s="215" t="s">
        <v>84</v>
      </c>
      <c r="E78" s="214" t="s">
        <v>85</v>
      </c>
      <c r="F78" s="214" t="s">
        <v>109</v>
      </c>
      <c r="G78" s="214" t="s">
        <v>110</v>
      </c>
      <c r="H78" s="86"/>
    </row>
    <row r="79" spans="3:8">
      <c r="C79" s="80" t="s">
        <v>86</v>
      </c>
      <c r="D79" s="69"/>
      <c r="E79" s="69"/>
      <c r="H79" s="86"/>
    </row>
    <row r="80" spans="3:8" ht="15" customHeight="1">
      <c r="C80" s="13" t="s">
        <v>111</v>
      </c>
      <c r="D80" s="69" t="s">
        <v>112</v>
      </c>
      <c r="E80" s="87">
        <f>subscription_value*how_often_pay_subscription_per_year</f>
        <v>0</v>
      </c>
      <c r="F80" s="102">
        <f>E80*(1+rate_of_inflation)</f>
        <v>0</v>
      </c>
      <c r="G80" s="102">
        <f>F80*(1+rate_of_inflation)</f>
        <v>0</v>
      </c>
      <c r="H80" s="86"/>
    </row>
    <row r="81" spans="3:8" ht="13.5" customHeight="1">
      <c r="C81" t="s">
        <v>113</v>
      </c>
      <c r="D81" s="69" t="s">
        <v>114</v>
      </c>
      <c r="E81" s="87">
        <f ca="1">IF(AND(date_license_expire&gt;current_date,date_next_license_purchase&lt;current_date ),(own_license_cost+support_cost),support_cost)</f>
        <v>0</v>
      </c>
      <c r="F81" s="190">
        <f ca="1">IF(AND(date_license_expire&gt;date_2_year,date_next_license_purchase&lt;date_2_year ),(own_license_cost+support_cost),support_cost)</f>
        <v>0</v>
      </c>
      <c r="G81" s="190">
        <f ca="1">IF(AND(date_license_expire&gt;date_3_year,date_next_license_purchase&lt;date_3_year ),(own_license_cost+support_cost),support_cost)</f>
        <v>0</v>
      </c>
      <c r="H81" s="86"/>
    </row>
    <row r="82" spans="3:8" ht="14.1" customHeight="1">
      <c r="C82" s="133" t="s">
        <v>115</v>
      </c>
      <c r="D82" s="69"/>
      <c r="E82" s="87">
        <f ca="1">SUM(E80:E81)</f>
        <v>0</v>
      </c>
      <c r="F82" s="87">
        <f t="shared" ref="F82:G82" ca="1" si="0">SUM(F80:F81)</f>
        <v>0</v>
      </c>
      <c r="G82" s="87">
        <f t="shared" ca="1" si="0"/>
        <v>0</v>
      </c>
      <c r="H82" s="86"/>
    </row>
    <row r="83" spans="3:8" ht="14.1" customHeight="1">
      <c r="C83" s="140" t="s">
        <v>91</v>
      </c>
      <c r="D83" s="140"/>
      <c r="E83" s="140"/>
      <c r="F83" s="140"/>
      <c r="G83" s="140"/>
      <c r="H83" s="86"/>
    </row>
    <row r="84" spans="3:8" ht="14.1" customHeight="1">
      <c r="C84" s="162" t="s">
        <v>116</v>
      </c>
      <c r="D84" s="163" t="s">
        <v>106</v>
      </c>
      <c r="E84" s="87">
        <f>cloud_licensing_costs_1_year</f>
        <v>0</v>
      </c>
      <c r="H84" s="86"/>
    </row>
    <row r="85" spans="3:8" ht="14.45">
      <c r="C85" s="13"/>
      <c r="H85" s="86"/>
    </row>
    <row r="86" spans="3:8" ht="14.45">
      <c r="C86" s="13"/>
      <c r="H86" s="86"/>
    </row>
    <row r="87" spans="3:8" ht="23.45">
      <c r="C87" s="278" t="s">
        <v>117</v>
      </c>
      <c r="D87" s="278"/>
      <c r="E87" s="278"/>
      <c r="F87" s="278"/>
      <c r="G87" s="278"/>
    </row>
    <row r="88" spans="3:8" ht="18" customHeight="1">
      <c r="C88" s="130"/>
      <c r="D88" s="130"/>
      <c r="E88" s="130"/>
      <c r="F88" s="130"/>
      <c r="G88" s="130"/>
    </row>
    <row r="89" spans="3:8" ht="17.45" customHeight="1">
      <c r="C89" s="192" t="s">
        <v>118</v>
      </c>
      <c r="D89" s="130"/>
      <c r="E89" s="130"/>
      <c r="F89" s="130"/>
      <c r="G89" s="130"/>
    </row>
    <row r="90" spans="3:8" ht="14.45" customHeight="1">
      <c r="C90" s="193" t="s">
        <v>119</v>
      </c>
      <c r="D90" s="130"/>
      <c r="E90" s="130"/>
      <c r="F90" s="130"/>
      <c r="G90" s="130"/>
    </row>
    <row r="91" spans="3:8" ht="14.1" customHeight="1">
      <c r="C91" s="193" t="s">
        <v>120</v>
      </c>
      <c r="D91" s="130"/>
      <c r="E91" s="130"/>
      <c r="F91" s="130"/>
      <c r="G91" s="130"/>
    </row>
    <row r="92" spans="3:8" ht="15.95" customHeight="1">
      <c r="C92" s="130"/>
      <c r="D92" s="73"/>
      <c r="E92" s="73"/>
    </row>
    <row r="93" spans="3:8">
      <c r="C93" s="209" t="s">
        <v>121</v>
      </c>
      <c r="D93" s="217" t="s">
        <v>84</v>
      </c>
      <c r="E93" s="218" t="s">
        <v>122</v>
      </c>
    </row>
    <row r="94" spans="3:8">
      <c r="C94" s="135" t="s">
        <v>86</v>
      </c>
      <c r="D94" s="4"/>
      <c r="E94" s="134"/>
    </row>
    <row r="95" spans="3:8" ht="18.600000000000001" customHeight="1">
      <c r="C95" s="7" t="s">
        <v>123</v>
      </c>
      <c r="D95" s="4" t="s">
        <v>124</v>
      </c>
      <c r="E95" s="158">
        <f>many_times_the_app_gets_slow_in_daily_minutes*(number_of_dead_seconds_per_minute/60)</f>
        <v>0</v>
      </c>
    </row>
    <row r="96" spans="3:8" ht="15.6" customHeight="1">
      <c r="C96" s="5" t="s">
        <v>125</v>
      </c>
      <c r="D96" s="4" t="s">
        <v>126</v>
      </c>
      <c r="E96" s="158">
        <f>E95+dead_time_due_to_normal_slowness_min_per_day_consultant</f>
        <v>0</v>
      </c>
    </row>
    <row r="97" spans="1:9" ht="16.5" customHeight="1">
      <c r="C97" s="159" t="s">
        <v>127</v>
      </c>
      <c r="D97" s="4" t="s">
        <v>128</v>
      </c>
      <c r="E97" s="70">
        <f>((number_people_use_the_application*E96)/60*average_hourly_cost_employee_use_application_USD)*days_of_the_month</f>
        <v>0</v>
      </c>
    </row>
    <row r="98" spans="1:9" ht="16.5" customHeight="1">
      <c r="C98" s="5" t="s">
        <v>129</v>
      </c>
      <c r="D98" s="25" t="s">
        <v>130</v>
      </c>
      <c r="E98" s="70">
        <f>average_many_it_employees*average_hourly_cost_employee_use_application_USD*(many_times_the_app_gets_shut_down_in_weekly/60)*4</f>
        <v>0</v>
      </c>
    </row>
    <row r="99" spans="1:9" ht="15" customHeight="1">
      <c r="C99" s="38" t="s">
        <v>131</v>
      </c>
      <c r="D99" s="17" t="s">
        <v>132</v>
      </c>
      <c r="E99" s="37">
        <f>SUM(E97:E98)</f>
        <v>0</v>
      </c>
    </row>
    <row r="100" spans="1:9" s="136" customFormat="1" ht="15" customHeight="1">
      <c r="A100" s="13"/>
      <c r="B100" s="13"/>
      <c r="C100" s="141" t="s">
        <v>91</v>
      </c>
      <c r="D100" s="142"/>
      <c r="E100" s="142"/>
      <c r="F100" s="13"/>
      <c r="G100" s="13"/>
      <c r="H100" s="13"/>
      <c r="I100" s="13"/>
    </row>
    <row r="101" spans="1:9">
      <c r="C101" s="256" t="s">
        <v>123</v>
      </c>
      <c r="D101" s="17"/>
      <c r="E101" s="13">
        <f>dead_time_due_to_severe_slowness_cloud_min_per_day</f>
        <v>0</v>
      </c>
    </row>
    <row r="102" spans="1:9">
      <c r="C102" s="257" t="s">
        <v>125</v>
      </c>
      <c r="D102" s="17"/>
      <c r="E102" s="13">
        <f>total_dead_time_cloud_min_per_day</f>
        <v>0</v>
      </c>
    </row>
    <row r="103" spans="1:9" ht="15.95" customHeight="1">
      <c r="C103" s="5" t="s">
        <v>127</v>
      </c>
      <c r="D103" s="17" t="s">
        <v>133</v>
      </c>
      <c r="E103" s="147">
        <f>E97*(1-it_operational_productivity)</f>
        <v>0</v>
      </c>
    </row>
    <row r="104" spans="1:9" ht="15.95" customHeight="1">
      <c r="C104" s="136" t="s">
        <v>129</v>
      </c>
      <c r="D104" s="17" t="s">
        <v>134</v>
      </c>
      <c r="E104" s="147">
        <f>E98*(1-cloud_availability_per_month)</f>
        <v>0</v>
      </c>
    </row>
    <row r="105" spans="1:9">
      <c r="C105" s="38" t="s">
        <v>135</v>
      </c>
      <c r="D105" s="17"/>
      <c r="E105" s="160">
        <f>SUM(E103:E104)</f>
        <v>0</v>
      </c>
    </row>
    <row r="106" spans="1:9">
      <c r="C106" s="80"/>
      <c r="D106" s="71"/>
    </row>
    <row r="108" spans="1:9" ht="23.45">
      <c r="C108" s="278" t="s">
        <v>136</v>
      </c>
      <c r="D108" s="278"/>
      <c r="E108" s="278"/>
      <c r="F108" s="278"/>
      <c r="G108" s="278"/>
    </row>
    <row r="110" spans="1:9" ht="14.45" customHeight="1">
      <c r="C110" s="29" t="s">
        <v>137</v>
      </c>
      <c r="D110" s="32" t="s">
        <v>84</v>
      </c>
      <c r="E110" s="29" t="s">
        <v>138</v>
      </c>
      <c r="F110" s="29" t="s">
        <v>139</v>
      </c>
      <c r="G110" s="30" t="s">
        <v>140</v>
      </c>
    </row>
    <row r="111" spans="1:9">
      <c r="C111" s="107" t="s">
        <v>141</v>
      </c>
      <c r="D111" s="101"/>
      <c r="E111" s="102">
        <f>E55</f>
        <v>0</v>
      </c>
      <c r="F111" s="102">
        <f>E111*(1+rate_of_inflation)</f>
        <v>0</v>
      </c>
      <c r="G111" s="102">
        <f>F111*(1+rate_of_inflation)</f>
        <v>0</v>
      </c>
    </row>
    <row r="112" spans="1:9" ht="15" customHeight="1">
      <c r="C112" s="107" t="s">
        <v>142</v>
      </c>
      <c r="D112" s="101" t="s">
        <v>143</v>
      </c>
      <c r="E112" s="102">
        <f>annual_repair_cost+annual_extra_support_cost</f>
        <v>0</v>
      </c>
      <c r="F112" s="102">
        <f>E112*(1+rate_of_inflation)</f>
        <v>0</v>
      </c>
      <c r="G112" s="102">
        <f>F112*(1+rate_of_inflation)</f>
        <v>0</v>
      </c>
    </row>
    <row r="113" spans="3:8">
      <c r="C113" s="107" t="s">
        <v>144</v>
      </c>
      <c r="D113" s="103"/>
      <c r="E113" s="102">
        <f>E70</f>
        <v>0</v>
      </c>
      <c r="F113" s="102">
        <f>(E113-on_Premise_Invest)*(1+rate_of_inflation)</f>
        <v>0</v>
      </c>
      <c r="G113" s="102">
        <f>F113*(1+rate_of_inflation)</f>
        <v>0</v>
      </c>
    </row>
    <row r="114" spans="3:8">
      <c r="C114" s="247" t="s">
        <v>145</v>
      </c>
      <c r="D114" s="103"/>
      <c r="E114" s="102">
        <f ca="1">E82</f>
        <v>0</v>
      </c>
      <c r="F114" s="102">
        <f t="shared" ref="F114:G114" ca="1" si="1">F82</f>
        <v>0</v>
      </c>
      <c r="G114" s="102">
        <f t="shared" ca="1" si="1"/>
        <v>0</v>
      </c>
      <c r="H114" s="245"/>
    </row>
    <row r="115" spans="3:8" ht="18.600000000000001" customHeight="1">
      <c r="C115" s="100" t="s">
        <v>146</v>
      </c>
      <c r="D115" s="101" t="s">
        <v>147</v>
      </c>
      <c r="E115" s="104">
        <f ca="1">SUM(E111:E114)</f>
        <v>0</v>
      </c>
      <c r="F115" s="104">
        <f ca="1">SUM(F111:F114)</f>
        <v>0</v>
      </c>
      <c r="G115" s="104">
        <f ca="1">SUM(G111:G114)</f>
        <v>0</v>
      </c>
    </row>
    <row r="116" spans="3:8">
      <c r="C116" s="108" t="s">
        <v>148</v>
      </c>
      <c r="D116" s="111"/>
      <c r="E116" s="112">
        <f ca="1">NPV('Costos Negocio'!$E$20,E115:G115)</f>
        <v>0</v>
      </c>
      <c r="F116" s="104"/>
      <c r="G116" s="104"/>
    </row>
    <row r="117" spans="3:8">
      <c r="C117" s="105" t="s">
        <v>117</v>
      </c>
      <c r="D117" s="106"/>
      <c r="E117" s="106"/>
      <c r="F117" s="106"/>
      <c r="G117" s="106"/>
    </row>
    <row r="118" spans="3:8">
      <c r="C118" s="107" t="s">
        <v>149</v>
      </c>
      <c r="D118" s="103"/>
      <c r="E118" s="102">
        <f>E97*months_of_year</f>
        <v>0</v>
      </c>
      <c r="F118" s="102">
        <f>Table_Summary_Legacy_Costs[[#This Row],[1 '[$']]]*(1+rate_of_inflation)</f>
        <v>0</v>
      </c>
      <c r="G118" s="102">
        <f>Table_Summary_Legacy_Costs[[#This Row],[2 '[$']]]*(1+rate_of_inflation)</f>
        <v>0</v>
      </c>
    </row>
    <row r="119" spans="3:8">
      <c r="C119" s="107" t="s">
        <v>150</v>
      </c>
      <c r="D119" s="103"/>
      <c r="E119" s="102">
        <f>E98*months_of_year</f>
        <v>0</v>
      </c>
      <c r="F119" s="102">
        <f>Table_Summary_Legacy_Costs[[#This Row],[1 '[$']]]*(1+rate_of_inflation)</f>
        <v>0</v>
      </c>
      <c r="G119" s="102">
        <f>Table_Summary_Legacy_Costs[[#This Row],[2 '[$']]]*(1+rate_of_inflation)</f>
        <v>0</v>
      </c>
    </row>
    <row r="120" spans="3:8">
      <c r="C120" s="100" t="s">
        <v>151</v>
      </c>
      <c r="D120" s="103"/>
      <c r="E120" s="102">
        <f>SUM(E118:E119)</f>
        <v>0</v>
      </c>
      <c r="F120" s="102">
        <f t="shared" ref="F120:G120" si="2">SUM(F118:F119)</f>
        <v>0</v>
      </c>
      <c r="G120" s="102">
        <f t="shared" si="2"/>
        <v>0</v>
      </c>
    </row>
    <row r="121" spans="3:8" ht="20.100000000000001" customHeight="1">
      <c r="C121" s="108" t="s">
        <v>152</v>
      </c>
      <c r="D121" s="109" t="s">
        <v>153</v>
      </c>
      <c r="E121" s="110">
        <f ca="1">SUM(E120+E115)</f>
        <v>0</v>
      </c>
      <c r="F121" s="110">
        <f ca="1">SUM(F120+F115)</f>
        <v>0</v>
      </c>
      <c r="G121" s="110">
        <f ca="1">SUM(G120+G115)</f>
        <v>0</v>
      </c>
    </row>
    <row r="122" spans="3:8" ht="14.1" customHeight="1">
      <c r="C122" s="13"/>
    </row>
    <row r="123" spans="3:8" ht="14.1" customHeight="1">
      <c r="C123" s="13"/>
    </row>
    <row r="124" spans="3:8" ht="20.100000000000001" customHeight="1">
      <c r="C124" s="278" t="s">
        <v>154</v>
      </c>
      <c r="D124" s="278"/>
      <c r="E124" s="278"/>
      <c r="F124" s="278"/>
      <c r="G124" s="278"/>
    </row>
    <row r="125" spans="3:8" ht="14.1" customHeight="1">
      <c r="C125" s="13"/>
    </row>
    <row r="126" spans="3:8">
      <c r="C126" s="29" t="s">
        <v>137</v>
      </c>
      <c r="D126" s="31" t="s">
        <v>84</v>
      </c>
      <c r="E126" s="29" t="s">
        <v>138</v>
      </c>
      <c r="F126" s="29" t="s">
        <v>139</v>
      </c>
      <c r="G126" s="89" t="s">
        <v>140</v>
      </c>
    </row>
    <row r="127" spans="3:8" ht="15.6" customHeight="1">
      <c r="C127" s="82" t="s">
        <v>141</v>
      </c>
      <c r="D127" s="6" t="s">
        <v>155</v>
      </c>
      <c r="E127" s="90">
        <f>it_salary_legacy_cost_1_year *(1-$E$32)</f>
        <v>0</v>
      </c>
      <c r="F127" s="81">
        <f>Table_Summary_Cloud_Costs[[#This Row],[1 '[$']]]*(1+rate_of_inflation)</f>
        <v>0</v>
      </c>
      <c r="G127" s="95">
        <f>Table_Summary_Cloud_Costs[[#This Row],[2 '[$']]]*(1+rate_of_inflation)</f>
        <v>0</v>
      </c>
    </row>
    <row r="128" spans="3:8" ht="16.5" customHeight="1">
      <c r="C128" s="82" t="s">
        <v>142</v>
      </c>
      <c r="D128" s="6" t="s">
        <v>156</v>
      </c>
      <c r="E128" s="90">
        <f>unexpected_legacy_cost_1_year *(1-$E$32)</f>
        <v>0</v>
      </c>
      <c r="F128" s="81">
        <f>Table_Summary_Cloud_Costs[[#This Row],[1 '[$']]]*(1+$E$12)</f>
        <v>0</v>
      </c>
      <c r="G128" s="96">
        <f>Table_Summary_Cloud_Costs[[#This Row],[2 '[$']]]*(1+rate_of_inflation)</f>
        <v>0</v>
      </c>
    </row>
    <row r="129" spans="3:7" ht="15" customHeight="1">
      <c r="C129" s="82" t="s">
        <v>97</v>
      </c>
      <c r="D129" s="6" t="s">
        <v>157</v>
      </c>
      <c r="E129" s="90">
        <f>infrastructure_cloud_cost_1_year</f>
        <v>0</v>
      </c>
      <c r="F129" s="81">
        <f>Table_Summary_Cloud_Costs[[#This Row],[1 '[$']]]*(1+rate_of_inflation)</f>
        <v>0</v>
      </c>
      <c r="G129" s="96">
        <f>Table_Summary_Cloud_Costs[[#This Row],[2 '[$']]]*(1+rate_of_inflation)</f>
        <v>0</v>
      </c>
    </row>
    <row r="130" spans="3:7" ht="15.6" customHeight="1">
      <c r="C130" s="248" t="s">
        <v>158</v>
      </c>
      <c r="D130" s="6" t="s">
        <v>159</v>
      </c>
      <c r="E130" s="90">
        <f>cloud_licensing_costs_1_year</f>
        <v>0</v>
      </c>
      <c r="F130" s="81">
        <f>Table_Summary_Cloud_Costs[[#This Row],[1 '[$']]]*(1+rate_of_inflation)</f>
        <v>0</v>
      </c>
      <c r="G130" s="96">
        <f>Table_Summary_Cloud_Costs[[#This Row],[2 '[$']]]*(1+rate_of_inflation)</f>
        <v>0</v>
      </c>
    </row>
    <row r="131" spans="3:7">
      <c r="C131" s="11" t="s">
        <v>160</v>
      </c>
      <c r="D131" s="6"/>
      <c r="E131" s="91">
        <f>SUM(E127:E130)</f>
        <v>0</v>
      </c>
      <c r="F131" s="93">
        <f>SUM(F127:F130)</f>
        <v>0</v>
      </c>
      <c r="G131" s="91">
        <f>SUM(G127:G130)</f>
        <v>0</v>
      </c>
    </row>
    <row r="132" spans="3:7">
      <c r="C132" s="108" t="s">
        <v>148</v>
      </c>
      <c r="D132" s="111"/>
      <c r="E132" s="164">
        <f>NPV('Costos Negocio'!$E$20,E131:G131)</f>
        <v>0</v>
      </c>
      <c r="F132" s="81"/>
      <c r="G132" s="96"/>
    </row>
    <row r="133" spans="3:7" ht="15" customHeight="1">
      <c r="C133" s="36" t="s">
        <v>161</v>
      </c>
      <c r="D133" s="6"/>
      <c r="E133" s="92"/>
      <c r="G133" s="97"/>
    </row>
    <row r="134" spans="3:7" ht="17.100000000000001" customHeight="1">
      <c r="C134" s="82" t="s">
        <v>149</v>
      </c>
      <c r="D134" s="6" t="s">
        <v>162</v>
      </c>
      <c r="E134" s="90">
        <f>E118*(1-it_operational_productivity)</f>
        <v>0</v>
      </c>
      <c r="F134" s="81">
        <f>Table_Summary_Cloud_Costs[[#This Row],[1 '[$']]]*(1+$E$12)</f>
        <v>0</v>
      </c>
      <c r="G134" s="96">
        <f>Table_Summary_Cloud_Costs[[#This Row],[2 '[$']]]*(1+rate_of_inflation)</f>
        <v>0</v>
      </c>
    </row>
    <row r="135" spans="3:7" ht="12.95" customHeight="1">
      <c r="C135" s="82" t="s">
        <v>163</v>
      </c>
      <c r="D135" s="6" t="s">
        <v>164</v>
      </c>
      <c r="E135" s="90">
        <f>E119*(1-cloud_availability_per_month)</f>
        <v>0</v>
      </c>
      <c r="F135" s="81">
        <f>Table_Summary_Cloud_Costs[[#This Row],[1 '[$']]]*(1+rate_of_inflation)</f>
        <v>0</v>
      </c>
      <c r="G135" s="96">
        <f>Table_Summary_Cloud_Costs[[#This Row],[2 '[$']]]*(1+rate_of_inflation)</f>
        <v>0</v>
      </c>
    </row>
    <row r="136" spans="3:7" ht="15" customHeight="1">
      <c r="C136" s="11" t="s">
        <v>151</v>
      </c>
      <c r="D136" s="6" t="s">
        <v>165</v>
      </c>
      <c r="E136" s="90">
        <f>SUM(E134:E135)</f>
        <v>0</v>
      </c>
      <c r="F136" s="90">
        <f t="shared" ref="F136:G136" si="3">SUM(F134:F135)</f>
        <v>0</v>
      </c>
      <c r="G136" s="90">
        <f t="shared" si="3"/>
        <v>0</v>
      </c>
    </row>
    <row r="137" spans="3:7" ht="15.95" customHeight="1">
      <c r="C137" s="39" t="s">
        <v>166</v>
      </c>
      <c r="D137" s="40" t="s">
        <v>167</v>
      </c>
      <c r="E137" s="94">
        <f>SUM(E131,E136)</f>
        <v>0</v>
      </c>
      <c r="F137" s="94">
        <f>SUM(F131,F136)</f>
        <v>0</v>
      </c>
      <c r="G137" s="98">
        <f>SUM(G131,G136)</f>
        <v>0</v>
      </c>
    </row>
    <row r="138" spans="3:7" ht="15" customHeight="1">
      <c r="C138" s="13"/>
    </row>
    <row r="139" spans="3:7" ht="15" customHeight="1">
      <c r="C139" s="13"/>
    </row>
    <row r="140" spans="3:7" ht="19.5" customHeight="1">
      <c r="C140" s="278" t="s">
        <v>168</v>
      </c>
      <c r="D140" s="278"/>
      <c r="E140" s="278"/>
      <c r="F140" s="278"/>
      <c r="G140" s="278"/>
    </row>
    <row r="141" spans="3:7" ht="14.45" customHeight="1">
      <c r="C141" s="13"/>
    </row>
    <row r="142" spans="3:7" ht="14.45">
      <c r="C142" s="13"/>
    </row>
    <row r="143" spans="3:7">
      <c r="C143" s="209" t="s">
        <v>169</v>
      </c>
      <c r="D143" s="77" t="s">
        <v>84</v>
      </c>
      <c r="E143" s="216" t="s">
        <v>170</v>
      </c>
      <c r="F143" s="208" t="s">
        <v>171</v>
      </c>
      <c r="G143" s="208" t="s">
        <v>172</v>
      </c>
    </row>
    <row r="144" spans="3:7" ht="18.95" customHeight="1">
      <c r="C144" s="9" t="s">
        <v>173</v>
      </c>
      <c r="D144" s="4" t="s">
        <v>174</v>
      </c>
      <c r="E144" s="99">
        <f ca="1">IFERROR((operational_legacy_cost_1_year-operational_cloud_cost_1_year)/operational_legacy_cost_1_year,0)</f>
        <v>0</v>
      </c>
      <c r="F144" s="99">
        <f ca="1">IFERROR((operational_legacy_cost_2_year-operational_cloud_cost_2_year)/operational_legacy_cost_2_year,0)</f>
        <v>0</v>
      </c>
      <c r="G144" s="99">
        <f ca="1">IFERROR((operational_legacy_cost_3_year-operational_cloud_cost_3_year)/operational_legacy_cost_3_year,0)</f>
        <v>0</v>
      </c>
    </row>
    <row r="145" spans="3:7" ht="19.5" customHeight="1">
      <c r="C145" s="9" t="s">
        <v>175</v>
      </c>
      <c r="D145" s="4" t="s">
        <v>176</v>
      </c>
      <c r="E145" s="37">
        <f ca="1">total_legacy_cost_1_year-total_cloud_cost_1_year</f>
        <v>0</v>
      </c>
      <c r="F145" s="37">
        <f ca="1">total_legacy_cost_2_year-total_cloud_cost_2_year</f>
        <v>0</v>
      </c>
      <c r="G145" s="37">
        <f ca="1">total_legacy_cost_3_year-total_cloud_cost_3_year</f>
        <v>0</v>
      </c>
    </row>
    <row r="146" spans="3:7" ht="17.100000000000001" customHeight="1">
      <c r="C146" s="9" t="s">
        <v>177</v>
      </c>
      <c r="D146" s="4" t="s">
        <v>178</v>
      </c>
      <c r="E146" s="236">
        <f ca="1">IFERROR((E145-initial_investment)/initial_investment,0)</f>
        <v>0</v>
      </c>
      <c r="F146" s="236">
        <f ca="1">IFERROR((F145-initial_investment)/initial_investment,0)</f>
        <v>0</v>
      </c>
      <c r="G146" s="236">
        <f ca="1">IFERROR((G145-initial_investment)/initial_investment,0)</f>
        <v>0</v>
      </c>
    </row>
    <row r="147" spans="3:7" ht="14.45">
      <c r="C147" s="13"/>
    </row>
    <row r="148" spans="3:7" ht="14.45">
      <c r="C148" s="13"/>
    </row>
    <row r="149" spans="3:7" ht="14.45">
      <c r="C149" s="13"/>
    </row>
    <row r="150" spans="3:7">
      <c r="C150" s="167" t="s">
        <v>179</v>
      </c>
      <c r="D150" s="187" t="s">
        <v>84</v>
      </c>
      <c r="E150" s="187" t="s">
        <v>170</v>
      </c>
      <c r="F150" s="188" t="s">
        <v>171</v>
      </c>
      <c r="G150" s="188" t="s">
        <v>172</v>
      </c>
    </row>
    <row r="151" spans="3:7" ht="19.5" customHeight="1">
      <c r="C151" s="184" t="s">
        <v>180</v>
      </c>
      <c r="D151" s="181"/>
      <c r="E151" s="182"/>
    </row>
    <row r="152" spans="3:7" ht="15.6" customHeight="1">
      <c r="C152" s="113" t="s">
        <v>181</v>
      </c>
      <c r="D152" s="4" t="s">
        <v>182</v>
      </c>
      <c r="E152" s="178">
        <f>IFERROR(shut_down_cloud_cost_1_year/shut_down_legacy_cost_1_year,0)</f>
        <v>0</v>
      </c>
      <c r="F152" s="178">
        <f>IFERROR(shut_down_cloud_cost_2_year/shut_down_legacy_cost_2_year,0)</f>
        <v>0</v>
      </c>
      <c r="G152" s="178">
        <f>IFERROR(shut_down_cloud_cost_3_year/shut_down_legacy_cost_3_year,0)</f>
        <v>0</v>
      </c>
    </row>
    <row r="153" spans="3:7" ht="16.5" customHeight="1">
      <c r="C153" s="113" t="s">
        <v>183</v>
      </c>
      <c r="D153" s="4" t="s">
        <v>184</v>
      </c>
      <c r="E153" s="183">
        <f>shut_down_legacy_cost_1_year-shut_down_cloud_cost_1_year</f>
        <v>0</v>
      </c>
      <c r="F153" s="183">
        <f>shut_down_legacy_cost_2_year-shut_down_cloud_cost_2_year</f>
        <v>0</v>
      </c>
      <c r="G153" s="183">
        <f>shut_down_legacy_cost_3_year-shut_down_cloud_cost_3_year</f>
        <v>0</v>
      </c>
    </row>
    <row r="154" spans="3:7" ht="15.95" customHeight="1">
      <c r="C154" s="185" t="s">
        <v>185</v>
      </c>
      <c r="D154" s="4" t="s">
        <v>186</v>
      </c>
      <c r="E154" s="178">
        <f>IFERROR(downtime_cloud_costs_1_year/downtime_legacy_cost_1_year,0)</f>
        <v>0</v>
      </c>
      <c r="F154" s="178">
        <f>IFERROR(downtime_cloud_costs_2_year/downtime_legacy_costs_2_year,0)</f>
        <v>0</v>
      </c>
      <c r="G154" s="178">
        <f>IFERROR(downtime_cloud_costs_3_year/downtime_legacy_costs_3_year,0)</f>
        <v>0</v>
      </c>
    </row>
    <row r="155" spans="3:7" ht="18" customHeight="1">
      <c r="C155" s="185" t="s">
        <v>187</v>
      </c>
      <c r="D155" s="4" t="s">
        <v>188</v>
      </c>
      <c r="E155" s="179">
        <f>downtime_legacy_cost_1_year-downtime_cloud_costs_1_year</f>
        <v>0</v>
      </c>
      <c r="F155" s="179">
        <f>downtime_legacy_costs_2_year-downtime_cloud_costs_2_year</f>
        <v>0</v>
      </c>
      <c r="G155" s="179">
        <f>downtime_legacy_costs_3_year-downtime_cloud_costs_3_year</f>
        <v>0</v>
      </c>
    </row>
    <row r="156" spans="3:7">
      <c r="C156" s="184" t="s">
        <v>189</v>
      </c>
      <c r="D156" s="4"/>
      <c r="E156" s="179"/>
    </row>
    <row r="157" spans="3:7" ht="16.5" customHeight="1">
      <c r="C157" s="186" t="s">
        <v>190</v>
      </c>
      <c r="D157" s="4" t="s">
        <v>191</v>
      </c>
      <c r="E157" s="178">
        <f>IFERROR(infrastructure_cloud_cost_1_year/infrastructure_legacy_cost_1_year,0)</f>
        <v>0</v>
      </c>
      <c r="F157" s="178">
        <f>IFERROR(infrastructure_cloud_cost_2_year/infrastructure_legacy_cost_2_year,0)</f>
        <v>0</v>
      </c>
      <c r="G157" s="178">
        <f>IFERROR(infrastructure_cloud_cost_3_year/infrastructure_legacy_cost_3_year,0)</f>
        <v>0</v>
      </c>
    </row>
    <row r="158" spans="3:7" ht="17.100000000000001" customHeight="1">
      <c r="C158" s="186" t="s">
        <v>192</v>
      </c>
      <c r="D158" s="4" t="s">
        <v>193</v>
      </c>
      <c r="E158" s="179">
        <f>infrastructure_legacy_cost_1_year-infrastructure_cloud_cost_1_year</f>
        <v>0</v>
      </c>
      <c r="F158" s="179">
        <f>infrastructure_legacy_cost_2_year-infrastructure_cloud_cost_2_year</f>
        <v>0</v>
      </c>
      <c r="G158" s="179">
        <f>infrastructure_legacy_cost_3_year-infrastructure_cloud_cost_3_year</f>
        <v>0</v>
      </c>
    </row>
    <row r="159" spans="3:7" ht="16.5" customHeight="1">
      <c r="C159" s="186" t="s">
        <v>194</v>
      </c>
      <c r="D159" s="4" t="s">
        <v>195</v>
      </c>
      <c r="E159" s="178">
        <f>IFERROR(it_salary_cloud_cost_1_year/it_salary_legacy_cost_1_year,0)</f>
        <v>0</v>
      </c>
      <c r="F159" s="178">
        <f>IFERROR(it_salary_cloud_cost_2_year/it_salary_legacy_cost_2_year,0)</f>
        <v>0</v>
      </c>
      <c r="G159" s="178">
        <f>IFERROR(it_salary_cloud_cost_3_year/it_salary_legacy_cost_3_year,0)</f>
        <v>0</v>
      </c>
    </row>
    <row r="160" spans="3:7" ht="18" customHeight="1">
      <c r="C160" s="186" t="s">
        <v>196</v>
      </c>
      <c r="D160" s="17" t="s">
        <v>197</v>
      </c>
      <c r="E160" s="180">
        <f>it_salary_legacy_cost_1_year-it_salary_cloud_cost_1_year</f>
        <v>0</v>
      </c>
      <c r="F160" s="180">
        <f>it_salary_legacy_cost_2_year-it_salary_cloud_cost_2_year</f>
        <v>0</v>
      </c>
      <c r="G160" s="180">
        <f>it_salary_legacy_cost_3_year-it_salary_cloud_cost_3_year</f>
        <v>0</v>
      </c>
    </row>
    <row r="161" spans="3:7" ht="14.1" customHeight="1">
      <c r="C161" s="185" t="s">
        <v>198</v>
      </c>
      <c r="D161" s="17" t="s">
        <v>199</v>
      </c>
      <c r="E161" s="178">
        <f>IFERROR(unexpected_cloud_cost_1_year/unexpected_legacy_cost_1_year,0)</f>
        <v>0</v>
      </c>
      <c r="F161" s="178">
        <f>IFERROR(unexpected_cloud_cost_2_year/unexpected_legacy_cost_2_year,0)</f>
        <v>0</v>
      </c>
      <c r="G161" s="178">
        <f>IFERROR(unexpected_cloud_cost_3_year/unexpected_legacy_cost_3_year,0)</f>
        <v>0</v>
      </c>
    </row>
    <row r="162" spans="3:7" ht="15.6" customHeight="1">
      <c r="C162" s="185" t="s">
        <v>200</v>
      </c>
      <c r="D162" s="4" t="s">
        <v>201</v>
      </c>
      <c r="E162" s="179">
        <f>unexpected_legacy_cost_1_year-unexpected_cloud_cost_1_year</f>
        <v>0</v>
      </c>
      <c r="F162" s="179">
        <f>unexpected_legacy_cost_2_year-unexpected_cloud_cost_2_year</f>
        <v>0</v>
      </c>
      <c r="G162" s="179">
        <f>unexpected_legacy_cost_2_year-unexpected_cloud_cost_2_year</f>
        <v>0</v>
      </c>
    </row>
    <row r="163" spans="3:7">
      <c r="C163" s="16" t="s">
        <v>202</v>
      </c>
      <c r="D163" s="252"/>
      <c r="E163" s="178">
        <f ca="1">IFERROR(licensing_cloud_cost_1_year/licensing_legacy_cost_1_year,0)</f>
        <v>0</v>
      </c>
      <c r="F163" s="178">
        <f ca="1">IFERROR(licensing_cloud_cost_2_year/licensing_legacy_cost_2_year,0)</f>
        <v>0</v>
      </c>
      <c r="G163" s="178">
        <f ca="1">IFERROR(licensing_cloud_cost_3_year/licensing_legacy_cost_3_year,0)</f>
        <v>0</v>
      </c>
    </row>
    <row r="164" spans="3:7">
      <c r="C164" s="16" t="s">
        <v>203</v>
      </c>
      <c r="D164" s="252"/>
      <c r="E164" s="246">
        <f ca="1">licensing_legacy_cost_1_year-licensing_cloud_cost_1_year</f>
        <v>0</v>
      </c>
      <c r="F164" s="246">
        <f ca="1">licensing_legacy_cost_2_year-licensing_cloud_cost_2_year</f>
        <v>0</v>
      </c>
      <c r="G164" s="246">
        <f ca="1">licensing_legacy_cost_3_year-licensing_cloud_cost_3_year</f>
        <v>0</v>
      </c>
    </row>
    <row r="165" spans="3:7">
      <c r="C165" s="184" t="s">
        <v>204</v>
      </c>
      <c r="D165" s="252"/>
      <c r="E165" s="180"/>
      <c r="F165" s="251"/>
      <c r="G165" s="251"/>
    </row>
    <row r="166" spans="3:7">
      <c r="C166" s="16" t="s">
        <v>205</v>
      </c>
      <c r="D166" s="252"/>
      <c r="E166" s="178">
        <f>IFERROR(saving_money_improvements_productivity_percentage_1_year,0)</f>
        <v>0</v>
      </c>
      <c r="F166" s="253">
        <f>IFERROR(saving_money_improvements_productivity_percentage_2_year,0)</f>
        <v>0</v>
      </c>
      <c r="G166" s="253">
        <f>IFERROR(saving_money_improvements_productivity_percentage_2_year,0)</f>
        <v>0</v>
      </c>
    </row>
    <row r="167" spans="3:7" ht="15" customHeight="1">
      <c r="C167" s="16" t="s">
        <v>206</v>
      </c>
      <c r="D167" s="252"/>
      <c r="E167" s="180">
        <f>IFERROR(savings_money_improvements_productivity_1_year,0)</f>
        <v>0</v>
      </c>
      <c r="F167" s="251">
        <f>IFERROR(saving_money_improvements_productivity_2_year,0)</f>
        <v>0</v>
      </c>
      <c r="G167" s="251">
        <f>IFERROR(savings_money_improvements_productivity_3_year,0)</f>
        <v>0</v>
      </c>
    </row>
    <row r="168" spans="3:7">
      <c r="C168" s="16" t="s">
        <v>207</v>
      </c>
      <c r="D168" s="252"/>
      <c r="E168" s="246">
        <f>IFERROR(Saving_money_show_down_and_slow_down_1_year,0)</f>
        <v>0</v>
      </c>
      <c r="F168" s="254">
        <f>IFERROR(Saving_money_show_down_and_slow_down_2_year,0)</f>
        <v>0</v>
      </c>
      <c r="G168" s="254">
        <f>IFERROR(Saving_money_show_down_and_slow_down_3_year,0)</f>
        <v>0</v>
      </c>
    </row>
    <row r="169" spans="3:7">
      <c r="C169" s="16" t="s">
        <v>208</v>
      </c>
      <c r="D169" s="255"/>
      <c r="E169" s="250">
        <f>salary_money_in_it_operation_salary_unexpected_cost_1_year_productivity</f>
        <v>0</v>
      </c>
      <c r="F169" s="254">
        <f>salary_money_in_it_operation_salary_unexpected_cost_2_year_productivity</f>
        <v>0</v>
      </c>
      <c r="G169" s="254">
        <f>salary_money_in_it_operation_salary_unexpected_cost_3_year_productivity</f>
        <v>0</v>
      </c>
    </row>
    <row r="175" spans="3:7" ht="16.5" customHeight="1"/>
    <row r="196" spans="3:7" ht="16.5" customHeight="1"/>
    <row r="197" spans="3:7" ht="14.1" customHeight="1"/>
    <row r="198" spans="3:7" s="13" customFormat="1" ht="17.100000000000001" customHeight="1"/>
    <row r="199" spans="3:7" s="13" customFormat="1" ht="15.6" customHeight="1"/>
    <row r="200" spans="3:7" s="13" customFormat="1" ht="14.45"/>
    <row r="201" spans="3:7" s="13" customFormat="1" ht="17.100000000000001" customHeight="1"/>
    <row r="202" spans="3:7" s="13" customFormat="1" ht="15" customHeight="1"/>
    <row r="203" spans="3:7" s="13" customFormat="1" ht="14.45" customHeight="1"/>
    <row r="204" spans="3:7" s="13" customFormat="1" ht="18" customHeight="1"/>
    <row r="205" spans="3:7" s="13" customFormat="1" ht="15.6" customHeight="1"/>
    <row r="206" spans="3:7" s="13" customFormat="1" ht="16.5" customHeight="1"/>
    <row r="207" spans="3:7" s="13" customFormat="1">
      <c r="C207" s="80"/>
      <c r="D207" s="71"/>
      <c r="E207" s="81"/>
      <c r="F207" s="81"/>
      <c r="G207" s="81"/>
    </row>
    <row r="208" spans="3:7" s="13" customFormat="1">
      <c r="C208" s="80"/>
      <c r="D208" s="71"/>
      <c r="E208" s="81"/>
      <c r="F208" s="81"/>
      <c r="G208" s="81"/>
    </row>
    <row r="209" spans="3:7" s="13" customFormat="1">
      <c r="C209" s="80"/>
      <c r="D209" s="71"/>
      <c r="E209" s="81"/>
      <c r="F209" s="81"/>
      <c r="G209" s="81"/>
    </row>
    <row r="210" spans="3:7" s="13" customFormat="1">
      <c r="C210" s="80"/>
      <c r="D210" s="71"/>
      <c r="E210" s="81"/>
      <c r="F210" s="81"/>
      <c r="G210" s="81"/>
    </row>
    <row r="211" spans="3:7" s="13" customFormat="1">
      <c r="C211" s="80"/>
      <c r="D211" s="71"/>
      <c r="E211" s="81"/>
      <c r="F211" s="81"/>
      <c r="G211" s="81"/>
    </row>
    <row r="212" spans="3:7" s="13" customFormat="1">
      <c r="C212" s="80"/>
      <c r="D212" s="71"/>
      <c r="E212" s="81"/>
      <c r="F212" s="81"/>
      <c r="G212" s="81"/>
    </row>
    <row r="213" spans="3:7" s="13" customFormat="1">
      <c r="C213" s="16"/>
    </row>
    <row r="214" spans="3:7" s="13" customFormat="1">
      <c r="C214" s="16"/>
    </row>
    <row r="217" spans="3:7" ht="15" customHeight="1">
      <c r="C217" s="2"/>
      <c r="D217"/>
      <c r="E217"/>
      <c r="F217"/>
      <c r="G217"/>
    </row>
    <row r="218" spans="3:7" ht="15.6" customHeight="1">
      <c r="C218" s="2"/>
      <c r="D218"/>
      <c r="E218"/>
      <c r="F218"/>
      <c r="G218"/>
    </row>
    <row r="219" spans="3:7" ht="21.95" customHeight="1">
      <c r="C219" s="2"/>
      <c r="D219"/>
      <c r="E219"/>
      <c r="F219"/>
      <c r="G219"/>
    </row>
    <row r="220" spans="3:7" ht="15.6" customHeight="1">
      <c r="C220" s="2"/>
      <c r="D220"/>
      <c r="E220"/>
      <c r="F220"/>
      <c r="G220"/>
    </row>
    <row r="221" spans="3:7" ht="15.6" customHeight="1">
      <c r="C221" s="2"/>
      <c r="D221"/>
      <c r="E221"/>
      <c r="F221"/>
      <c r="G221"/>
    </row>
    <row r="222" spans="3:7" ht="15.6" customHeight="1">
      <c r="C222" s="2"/>
      <c r="D222"/>
      <c r="E222"/>
      <c r="F222"/>
      <c r="G222"/>
    </row>
    <row r="223" spans="3:7" ht="14.45" customHeight="1">
      <c r="C223" s="2"/>
      <c r="D223"/>
      <c r="E223"/>
      <c r="F223"/>
      <c r="G223"/>
    </row>
    <row r="224" spans="3:7" ht="18.600000000000001" customHeight="1">
      <c r="C224" s="2"/>
      <c r="D224"/>
      <c r="E224"/>
      <c r="F224"/>
      <c r="G224"/>
    </row>
    <row r="225" spans="3:7" ht="14.45" customHeight="1">
      <c r="C225" s="2"/>
      <c r="D225"/>
      <c r="E225"/>
      <c r="F225"/>
      <c r="G225"/>
    </row>
    <row r="226" spans="3:7" ht="15.6" customHeight="1">
      <c r="C226" s="2"/>
      <c r="D226"/>
      <c r="E226"/>
      <c r="F226"/>
      <c r="G226"/>
    </row>
    <row r="227" spans="3:7" ht="15.6" customHeight="1">
      <c r="C227" s="2"/>
      <c r="D227"/>
      <c r="E227"/>
      <c r="F227"/>
      <c r="G227"/>
    </row>
    <row r="228" spans="3:7" ht="15.6" customHeight="1">
      <c r="C228" s="2"/>
      <c r="D228"/>
      <c r="E228"/>
      <c r="F228"/>
      <c r="G228"/>
    </row>
    <row r="229" spans="3:7" ht="15.6" customHeight="1">
      <c r="C229" s="2"/>
      <c r="D229"/>
      <c r="E229"/>
      <c r="F229"/>
      <c r="G229"/>
    </row>
    <row r="230" spans="3:7" ht="15.6" customHeight="1">
      <c r="C230" s="2"/>
      <c r="D230"/>
      <c r="E230"/>
      <c r="F230"/>
      <c r="G230"/>
    </row>
    <row r="231" spans="3:7" ht="15.6" customHeight="1">
      <c r="C231" s="2"/>
      <c r="D231"/>
      <c r="E231"/>
      <c r="F231"/>
      <c r="G231"/>
    </row>
    <row r="232" spans="3:7" ht="15.6" customHeight="1">
      <c r="C232" s="2"/>
      <c r="D232"/>
      <c r="E232"/>
      <c r="F232"/>
      <c r="G232"/>
    </row>
  </sheetData>
  <mergeCells count="10">
    <mergeCell ref="C140:G140"/>
    <mergeCell ref="C3:H3"/>
    <mergeCell ref="C124:G124"/>
    <mergeCell ref="C108:G108"/>
    <mergeCell ref="C87:G87"/>
    <mergeCell ref="C61:G61"/>
    <mergeCell ref="C49:G49"/>
    <mergeCell ref="C4:H4"/>
    <mergeCell ref="C75:G75"/>
    <mergeCell ref="C20:G20"/>
  </mergeCells>
  <phoneticPr fontId="47" type="noConversion"/>
  <pageMargins left="0.7" right="0.7" top="0.75" bottom="0.75" header="0.3" footer="0.3"/>
  <pageSetup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27FCBB-087D-414C-B719-19E938F36562}">
          <x14:formula1>
            <xm:f>Dropdownlist!$A$2:$A$3</xm:f>
          </x14:formula1>
          <xm:sqref>E32:E33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1410-443E-41B2-843C-39B9D49D22C8}">
  <sheetPr codeName="Sheet5"/>
  <dimension ref="A1:A3"/>
  <sheetViews>
    <sheetView workbookViewId="0"/>
  </sheetViews>
  <sheetFormatPr defaultRowHeight="14.45"/>
  <sheetData>
    <row r="1" spans="1:1">
      <c r="A1" s="146" t="s">
        <v>209</v>
      </c>
    </row>
    <row r="2" spans="1:1">
      <c r="A2" s="174">
        <v>0.3</v>
      </c>
    </row>
    <row r="3" spans="1:1">
      <c r="A3" s="174">
        <v>0.4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6CFA-8012-43F9-9D62-B57355D376A6}">
  <sheetPr codeName="Sheet7"/>
  <dimension ref="A1:XFC172"/>
  <sheetViews>
    <sheetView zoomScale="94" zoomScaleNormal="94" workbookViewId="0">
      <selection activeCell="H19" sqref="H19"/>
    </sheetView>
  </sheetViews>
  <sheetFormatPr defaultColWidth="0" defaultRowHeight="14.45" zeroHeight="1"/>
  <cols>
    <col min="1" max="1" width="4.42578125" style="13" customWidth="1"/>
    <col min="2" max="2" width="5.5703125" style="13" customWidth="1"/>
    <col min="3" max="3" width="52.42578125" customWidth="1"/>
    <col min="4" max="4" width="0.42578125" hidden="1" customWidth="1"/>
    <col min="5" max="5" width="22.42578125" customWidth="1"/>
    <col min="6" max="6" width="22.28515625" customWidth="1"/>
    <col min="7" max="7" width="21.42578125" customWidth="1"/>
    <col min="8" max="8" width="18.140625" style="13" customWidth="1"/>
    <col min="9" max="9" width="29.85546875" style="13" customWidth="1"/>
    <col min="10" max="10" width="11.28515625" style="13" customWidth="1"/>
    <col min="11" max="11" width="8.7109375" style="13" hidden="1" customWidth="1"/>
    <col min="12" max="12" width="0" style="13" hidden="1" customWidth="1"/>
    <col min="13" max="16383" width="8.7109375" hidden="1"/>
    <col min="16384" max="16384" width="0.7109375" style="13" customWidth="1"/>
  </cols>
  <sheetData>
    <row r="1" spans="1:11" ht="15.6">
      <c r="C1" s="16"/>
      <c r="D1" s="13"/>
      <c r="E1" s="13"/>
      <c r="F1" s="13"/>
      <c r="G1" s="13"/>
    </row>
    <row r="2" spans="1:11" ht="15.6">
      <c r="C2" s="16"/>
      <c r="D2" s="13"/>
      <c r="E2" s="13"/>
      <c r="F2" s="13"/>
      <c r="G2" s="13"/>
    </row>
    <row r="3" spans="1:11" ht="23.45">
      <c r="C3" s="279" t="s">
        <v>0</v>
      </c>
      <c r="D3" s="279"/>
      <c r="E3" s="279"/>
      <c r="F3" s="279"/>
      <c r="G3" s="279"/>
      <c r="H3" s="279"/>
      <c r="I3" s="279"/>
    </row>
    <row r="4" spans="1:11" ht="23.45" customHeight="1">
      <c r="C4" s="279" t="s">
        <v>210</v>
      </c>
      <c r="D4" s="279"/>
      <c r="E4" s="279"/>
      <c r="F4" s="279"/>
      <c r="G4" s="279"/>
      <c r="H4" s="279"/>
      <c r="I4" s="279"/>
      <c r="J4" s="154"/>
      <c r="K4" s="154"/>
    </row>
    <row r="5" spans="1:11" ht="23.45" customHeight="1">
      <c r="C5" s="280"/>
      <c r="D5" s="280"/>
      <c r="E5" s="280"/>
      <c r="F5" s="280"/>
      <c r="G5" s="280"/>
      <c r="H5" s="194"/>
      <c r="I5" s="194"/>
    </row>
    <row r="6" spans="1:11" ht="18" customHeight="1">
      <c r="C6" s="45"/>
      <c r="D6" s="13"/>
      <c r="E6" s="13"/>
      <c r="F6" s="13"/>
      <c r="G6" s="13"/>
    </row>
    <row r="7" spans="1:11" customFormat="1">
      <c r="A7" s="13"/>
      <c r="B7" s="13"/>
      <c r="C7" s="296"/>
      <c r="D7" s="296"/>
      <c r="E7" s="296"/>
      <c r="F7" s="296"/>
      <c r="G7" s="296"/>
      <c r="H7" s="296"/>
      <c r="I7" s="296"/>
    </row>
    <row r="8" spans="1:11">
      <c r="C8" s="13"/>
      <c r="D8" s="13"/>
      <c r="E8" s="13"/>
      <c r="F8" s="13"/>
      <c r="G8" s="13"/>
    </row>
    <row r="9" spans="1:11" ht="15.6">
      <c r="C9" s="80" t="s">
        <v>118</v>
      </c>
      <c r="D9" s="13"/>
      <c r="E9" s="13"/>
      <c r="F9" s="13"/>
      <c r="G9" s="13"/>
    </row>
    <row r="10" spans="1:11">
      <c r="C10" s="133"/>
      <c r="D10" s="13"/>
      <c r="E10" s="13"/>
      <c r="F10" s="13"/>
      <c r="G10" s="13"/>
    </row>
    <row r="11" spans="1:11" ht="15.6">
      <c r="C11" s="2" t="s">
        <v>211</v>
      </c>
      <c r="D11" s="8" t="s">
        <v>84</v>
      </c>
      <c r="E11" s="145" t="s">
        <v>86</v>
      </c>
      <c r="F11" s="145" t="s">
        <v>91</v>
      </c>
      <c r="G11" s="13"/>
    </row>
    <row r="12" spans="1:11">
      <c r="C12" s="143" t="s">
        <v>212</v>
      </c>
      <c r="D12" s="13"/>
      <c r="E12" s="149">
        <f>number_people_use_the_application</f>
        <v>0</v>
      </c>
      <c r="F12" s="149">
        <f>number_people_use_the_application</f>
        <v>0</v>
      </c>
      <c r="G12" s="13"/>
    </row>
    <row r="13" spans="1:11" ht="23.45" customHeight="1">
      <c r="C13" s="143" t="s">
        <v>213</v>
      </c>
      <c r="D13" s="6" t="s">
        <v>214</v>
      </c>
      <c r="E13" s="148">
        <f>(many_times_the_app_gets_slow_in_daily_minutes/60)*days_of_the_month</f>
        <v>0</v>
      </c>
      <c r="F13" s="263">
        <f>(dead_time_due_to_severe_slowness_cloud_min_per_day*30)/60</f>
        <v>0</v>
      </c>
      <c r="G13" s="13"/>
    </row>
    <row r="14" spans="1:11" ht="24.6" customHeight="1">
      <c r="C14" s="143" t="s">
        <v>215</v>
      </c>
      <c r="D14" s="6" t="s">
        <v>216</v>
      </c>
      <c r="E14" s="263">
        <f>(many_times_the_app_gets_shut_down_in_weekly/60)*4</f>
        <v>0</v>
      </c>
      <c r="F14" s="263">
        <f>(total_dead_time_cloud_min_per_day*30)/60</f>
        <v>0</v>
      </c>
      <c r="G14" s="13"/>
    </row>
    <row r="15" spans="1:11" ht="35.450000000000003" customHeight="1">
      <c r="C15" s="143" t="s">
        <v>217</v>
      </c>
      <c r="D15" s="6" t="s">
        <v>218</v>
      </c>
      <c r="E15" s="149">
        <f>working_hours_per_day</f>
        <v>0</v>
      </c>
      <c r="F15" s="149">
        <f>working_hours_per_day</f>
        <v>0</v>
      </c>
      <c r="G15" s="13"/>
    </row>
    <row r="16" spans="1:11" ht="23.45" customHeight="1">
      <c r="C16" s="143" t="s">
        <v>219</v>
      </c>
      <c r="D16" s="6" t="s">
        <v>220</v>
      </c>
      <c r="E16" s="166">
        <f>IFERROR(((E12*E15*20)-(E12*(E13+E14)))/E17,0)</f>
        <v>0</v>
      </c>
      <c r="F16" s="166">
        <f>IFERROR(((F12*F15*20)-(F12*(F13+F14)))/F17,0)</f>
        <v>0</v>
      </c>
      <c r="G16" s="13"/>
    </row>
    <row r="17" spans="3:9" customFormat="1">
      <c r="C17" t="s">
        <v>221</v>
      </c>
      <c r="D17" t="s">
        <v>222</v>
      </c>
      <c r="E17">
        <f>E15*E12*20</f>
        <v>0</v>
      </c>
      <c r="F17">
        <f>F15*F12*20</f>
        <v>0</v>
      </c>
    </row>
    <row r="18" spans="3:9">
      <c r="C18" s="13"/>
      <c r="D18" s="13"/>
      <c r="E18" s="149"/>
      <c r="F18" s="149"/>
      <c r="G18" s="13"/>
    </row>
    <row r="19" spans="3:9">
      <c r="C19" s="13"/>
      <c r="D19" s="69"/>
      <c r="E19" s="149"/>
      <c r="F19" s="149"/>
      <c r="G19" s="13"/>
    </row>
    <row r="20" spans="3:9">
      <c r="C20" s="143"/>
      <c r="D20" s="13"/>
      <c r="E20" s="13"/>
      <c r="F20" s="13"/>
      <c r="G20" s="13"/>
    </row>
    <row r="21" spans="3:9" ht="15.6">
      <c r="C21" s="150" t="s">
        <v>223</v>
      </c>
      <c r="D21" s="144" t="s">
        <v>84</v>
      </c>
      <c r="E21" s="153" t="s">
        <v>170</v>
      </c>
      <c r="F21" s="153" t="s">
        <v>171</v>
      </c>
      <c r="G21" s="153" t="s">
        <v>172</v>
      </c>
      <c r="H21" s="153" t="s">
        <v>224</v>
      </c>
      <c r="I21" s="167" t="s">
        <v>225</v>
      </c>
    </row>
    <row r="22" spans="3:9" ht="21.6" customHeight="1">
      <c r="C22" s="151" t="s">
        <v>226</v>
      </c>
      <c r="D22" s="6" t="s">
        <v>227</v>
      </c>
      <c r="E22" s="170">
        <f>F16-E16</f>
        <v>0</v>
      </c>
      <c r="F22" s="169">
        <f>Table_Productivity[[#This Row],[1]]*(1+rate_of_inflation)</f>
        <v>0</v>
      </c>
      <c r="G22" s="169">
        <f>Table_Productivity[[#This Row],[2]]*(1+rate_of_inflation)</f>
        <v>0</v>
      </c>
      <c r="H22" s="49"/>
      <c r="I22" s="49"/>
    </row>
    <row r="23" spans="3:9" ht="19.5" customHeight="1">
      <c r="C23" s="243" t="s">
        <v>207</v>
      </c>
      <c r="D23" s="6" t="s">
        <v>228</v>
      </c>
      <c r="E23" s="244">
        <f>$E$17*average_hourly_cost_employee_use_application_USD*$E$22* months_of_year</f>
        <v>0</v>
      </c>
      <c r="F23" s="152">
        <f>Table_Productivity[[#This Row],[1]]*(1+rate_of_inflation)</f>
        <v>0</v>
      </c>
      <c r="G23" s="152">
        <f>Table_Productivity[[#This Row],[2]]*(1+rate_of_inflation)</f>
        <v>0</v>
      </c>
      <c r="H23" s="169">
        <f>IFERROR(Table_Productivity[[#This Row],[1]]/E27,0)</f>
        <v>0</v>
      </c>
      <c r="I23" s="169">
        <f>Table_Productivity[[#This Row],['[%']]]*E29</f>
        <v>0</v>
      </c>
    </row>
    <row r="24" spans="3:9" ht="28.5" customHeight="1">
      <c r="C24" s="151" t="s">
        <v>208</v>
      </c>
      <c r="D24" s="6" t="s">
        <v>229</v>
      </c>
      <c r="E24" s="87">
        <f>(it_salary_legacy_cost_1_year+unexpected_legacy_cost_1_year)*it_operational_productivity</f>
        <v>0</v>
      </c>
      <c r="F24" s="152">
        <f>(it_salary_legacy_cost_2_year+unexpected_legacy_cost_2_year)*it_operational_productivity</f>
        <v>0</v>
      </c>
      <c r="G24" s="152">
        <f>(it_salary_legacy_cost_3_year+unexpected_legacy_cost_3_year)*it_operational_productivity</f>
        <v>0</v>
      </c>
      <c r="H24" s="169">
        <f>IFERROR(Table_Productivity[[#This Row],[1]]/E27,0)</f>
        <v>0</v>
      </c>
      <c r="I24" s="169">
        <f>Table_Productivity[[#This Row],['[%']]]*E29</f>
        <v>0</v>
      </c>
    </row>
    <row r="25" spans="3:9" ht="30.95" customHeight="1">
      <c r="C25" s="249" t="s">
        <v>230</v>
      </c>
      <c r="D25" s="6" t="s">
        <v>231</v>
      </c>
      <c r="E25" s="147">
        <f>SUM(E23:E24)</f>
        <v>0</v>
      </c>
      <c r="F25" s="152">
        <f>Table_Productivity[[#This Row],[1]]*(1+rate_of_inflation)</f>
        <v>0</v>
      </c>
      <c r="G25" s="152">
        <f>Table_Productivity[[#This Row],[2]]*(1+rate_of_inflation)</f>
        <v>0</v>
      </c>
      <c r="H25" s="49"/>
      <c r="I25" s="49"/>
    </row>
    <row r="26" spans="3:9" customFormat="1">
      <c r="C26" t="s">
        <v>232</v>
      </c>
      <c r="D26" t="s">
        <v>193</v>
      </c>
      <c r="E26" s="240">
        <f>infrastructure_legacy_cost_1_year-infrastructure_cloud_cost_1_year</f>
        <v>0</v>
      </c>
      <c r="F26" s="237">
        <f>infrastructure_legacy_cost_2_year-infrastructure_cloud_cost_2_year</f>
        <v>0</v>
      </c>
      <c r="G26" s="237">
        <f>infrastructure_legacy_cost_3_year-infrastructure_cloud_cost_3_year</f>
        <v>0</v>
      </c>
      <c r="H26" s="166">
        <f>IFERROR(Table_Productivity[[#This Row],[1]]/E27,0)</f>
        <v>0</v>
      </c>
      <c r="I26" s="166">
        <f>E29*Table_Productivity[[#This Row],['[%']]]</f>
        <v>0</v>
      </c>
    </row>
    <row r="27" spans="3:9">
      <c r="C27" s="146" t="s">
        <v>233</v>
      </c>
      <c r="D27" s="13"/>
      <c r="E27" s="81">
        <f>E25+E26</f>
        <v>0</v>
      </c>
      <c r="F27" s="147">
        <f>SUM(F25:F26)</f>
        <v>0</v>
      </c>
      <c r="G27" s="147">
        <f>SUM(G25:G26)</f>
        <v>0</v>
      </c>
      <c r="H27" s="49">
        <f>SUM(H22:H26)</f>
        <v>0</v>
      </c>
      <c r="I27" s="168">
        <f>SUM(I23:I26)</f>
        <v>0</v>
      </c>
    </row>
    <row r="28" spans="3:9" ht="14.1" customHeight="1">
      <c r="C28" s="13"/>
      <c r="D28" s="13"/>
      <c r="E28" s="133"/>
      <c r="F28" s="13"/>
      <c r="G28" s="13"/>
      <c r="H28" s="49"/>
      <c r="I28" s="49"/>
    </row>
    <row r="29" spans="3:9">
      <c r="C29" s="191" t="s">
        <v>234</v>
      </c>
      <c r="D29" s="195" t="s">
        <v>235</v>
      </c>
      <c r="E29" s="168">
        <f>IFERROR(E27/SUM(downtime_legacy_cost_1_year,shut_down_legacy_cost_1_year,it_salary_legacy_cost_1_year,unexpected_legacy_cost_1_year,infrastructure_legacy_cost_1_year),0)</f>
        <v>0</v>
      </c>
      <c r="F29" s="168">
        <f>IFERROR(F27/SUM(Analysis!F118,Analysis!F119,Analysis!F111,Analysis!F112,Analysis!F113),0)</f>
        <v>0</v>
      </c>
      <c r="G29" s="168">
        <f>IFERROR(G27/SUM(Analysis!G118,Analysis!G119,Analysis!G111,Analysis!G112,Analysis!G113),0)</f>
        <v>0</v>
      </c>
    </row>
    <row r="30" spans="3:9">
      <c r="C30" s="13"/>
      <c r="D30" s="13"/>
      <c r="E30" s="13"/>
      <c r="F30" s="13"/>
      <c r="G30" s="13"/>
    </row>
    <row r="31" spans="3:9">
      <c r="C31" s="13"/>
      <c r="D31" s="13"/>
      <c r="E31" s="13"/>
      <c r="F31" s="13"/>
      <c r="G31" s="13"/>
    </row>
    <row r="32" spans="3:9">
      <c r="C32" s="13"/>
      <c r="D32" s="13"/>
      <c r="E32" s="13"/>
      <c r="F32" s="13"/>
      <c r="G32" s="13"/>
    </row>
    <row r="33" spans="3:7">
      <c r="C33" s="13"/>
      <c r="D33" s="13"/>
      <c r="E33" s="13"/>
      <c r="F33" s="13"/>
      <c r="G33" s="13"/>
    </row>
    <row r="34" spans="3:7">
      <c r="C34" s="13"/>
      <c r="D34" s="13"/>
      <c r="E34" s="13"/>
      <c r="F34" s="13"/>
      <c r="G34" s="13"/>
    </row>
    <row r="35" spans="3:7">
      <c r="C35" s="13"/>
      <c r="D35" s="13"/>
      <c r="E35" s="13"/>
      <c r="F35" s="13"/>
      <c r="G35" s="13"/>
    </row>
    <row r="36" spans="3:7">
      <c r="C36" s="13"/>
      <c r="D36" s="13"/>
      <c r="E36" s="13"/>
      <c r="F36" s="13"/>
      <c r="G36" s="13"/>
    </row>
    <row r="37" spans="3:7">
      <c r="C37" s="13"/>
      <c r="D37" s="13"/>
      <c r="E37" s="13"/>
      <c r="F37" s="13"/>
      <c r="G37" s="13"/>
    </row>
    <row r="38" spans="3:7">
      <c r="C38" s="13"/>
      <c r="D38" s="13"/>
      <c r="E38" s="13"/>
      <c r="F38" s="13"/>
      <c r="G38" s="13"/>
    </row>
    <row r="39" spans="3:7">
      <c r="C39" s="13"/>
      <c r="D39" s="13"/>
      <c r="E39" s="13"/>
      <c r="F39" s="13"/>
      <c r="G39" s="13"/>
    </row>
    <row r="40" spans="3:7">
      <c r="C40" s="13"/>
      <c r="D40" s="13"/>
      <c r="E40" s="13"/>
      <c r="F40" s="13"/>
      <c r="G40" s="13"/>
    </row>
    <row r="41" spans="3:7">
      <c r="C41" s="13"/>
      <c r="D41" s="13"/>
      <c r="E41" s="13"/>
      <c r="F41" s="13"/>
      <c r="G41" s="13"/>
    </row>
    <row r="42" spans="3:7" hidden="1">
      <c r="C42" s="13"/>
      <c r="D42" s="13"/>
      <c r="E42" s="13"/>
      <c r="F42" s="13"/>
      <c r="G42" s="13"/>
    </row>
    <row r="43" spans="3:7" hidden="1">
      <c r="C43" s="13"/>
      <c r="D43" s="13"/>
      <c r="E43" s="13"/>
      <c r="F43" s="13"/>
      <c r="G43" s="13"/>
    </row>
    <row r="44" spans="3:7" hidden="1">
      <c r="C44" s="13"/>
      <c r="D44" s="13"/>
      <c r="E44" s="13"/>
      <c r="F44" s="13"/>
      <c r="G44" s="13"/>
    </row>
    <row r="45" spans="3:7" hidden="1">
      <c r="C45" s="13"/>
      <c r="D45" s="13"/>
      <c r="E45" s="13"/>
      <c r="F45" s="13"/>
      <c r="G45" s="13"/>
    </row>
    <row r="46" spans="3:7" hidden="1">
      <c r="C46" s="13"/>
      <c r="D46" s="13"/>
      <c r="E46" s="13"/>
      <c r="F46" s="13"/>
      <c r="G46" s="13"/>
    </row>
    <row r="47" spans="3:7" hidden="1">
      <c r="C47" s="13"/>
      <c r="D47" s="13"/>
      <c r="E47" s="13"/>
      <c r="F47" s="13"/>
      <c r="G47" s="13"/>
    </row>
    <row r="48" spans="3:7" hidden="1">
      <c r="C48" s="13"/>
      <c r="D48" s="13"/>
      <c r="E48" s="13"/>
      <c r="F48" s="13"/>
      <c r="G48" s="13"/>
    </row>
    <row r="49" spans="1:12" hidden="1">
      <c r="C49" s="13"/>
      <c r="D49" s="13"/>
      <c r="E49" s="13"/>
      <c r="F49" s="13"/>
      <c r="G49" s="13"/>
    </row>
    <row r="50" spans="1:12" hidden="1">
      <c r="C50" s="13"/>
      <c r="D50" s="13"/>
      <c r="E50" s="13"/>
      <c r="F50" s="13"/>
      <c r="G50" s="13"/>
    </row>
    <row r="51" spans="1:12" hidden="1">
      <c r="A51"/>
      <c r="B51"/>
      <c r="H51"/>
      <c r="I51"/>
      <c r="J51"/>
      <c r="K51"/>
      <c r="L51"/>
    </row>
    <row r="52" spans="1:12" hidden="1">
      <c r="A52"/>
      <c r="B52"/>
      <c r="H52"/>
      <c r="I52"/>
      <c r="J52"/>
      <c r="K52"/>
      <c r="L52"/>
    </row>
    <row r="53" spans="1:12" hidden="1">
      <c r="A53"/>
      <c r="B53"/>
      <c r="H53"/>
      <c r="I53"/>
      <c r="J53"/>
      <c r="K53"/>
      <c r="L53"/>
    </row>
    <row r="54" spans="1:12" hidden="1">
      <c r="A54"/>
      <c r="B54"/>
      <c r="H54"/>
      <c r="I54"/>
      <c r="J54"/>
      <c r="K54"/>
      <c r="L54"/>
    </row>
    <row r="55" spans="1:12" hidden="1">
      <c r="A55"/>
      <c r="B55"/>
      <c r="H55"/>
      <c r="I55"/>
      <c r="J55"/>
      <c r="K55"/>
      <c r="L55"/>
    </row>
    <row r="56" spans="1:12" hidden="1">
      <c r="A56"/>
      <c r="B56"/>
      <c r="H56"/>
      <c r="I56"/>
      <c r="J56"/>
      <c r="K56"/>
      <c r="L56"/>
    </row>
    <row r="57" spans="1:12" hidden="1">
      <c r="A57"/>
      <c r="B57"/>
      <c r="H57"/>
      <c r="I57"/>
      <c r="J57"/>
      <c r="K57"/>
      <c r="L57"/>
    </row>
    <row r="58" spans="1:12" hidden="1">
      <c r="A58"/>
      <c r="B58"/>
      <c r="H58"/>
      <c r="I58"/>
      <c r="J58"/>
      <c r="K58"/>
      <c r="L58"/>
    </row>
    <row r="59" spans="1:12" hidden="1">
      <c r="A59"/>
      <c r="B59"/>
      <c r="H59"/>
      <c r="I59"/>
      <c r="J59"/>
      <c r="K59"/>
      <c r="L59"/>
    </row>
    <row r="60" spans="1:12" hidden="1">
      <c r="A60"/>
      <c r="B60"/>
      <c r="H60"/>
      <c r="I60"/>
      <c r="J60"/>
      <c r="K60"/>
      <c r="L60"/>
    </row>
    <row r="61" spans="1:12" hidden="1">
      <c r="A61"/>
      <c r="B61"/>
      <c r="H61"/>
      <c r="I61"/>
      <c r="J61"/>
      <c r="K61"/>
      <c r="L61"/>
    </row>
    <row r="62" spans="1:12" hidden="1">
      <c r="A62"/>
      <c r="B62"/>
      <c r="H62"/>
      <c r="I62"/>
      <c r="J62"/>
      <c r="K62"/>
      <c r="L62"/>
    </row>
    <row r="63" spans="1:12" hidden="1">
      <c r="A63"/>
      <c r="B63"/>
      <c r="H63"/>
      <c r="I63"/>
      <c r="J63"/>
      <c r="K63"/>
      <c r="L63"/>
    </row>
    <row r="64" spans="1:12" hidden="1">
      <c r="A64"/>
      <c r="B64"/>
      <c r="H64"/>
      <c r="I64"/>
      <c r="J64"/>
      <c r="K64"/>
      <c r="L64"/>
    </row>
    <row r="65" spans="1:12" hidden="1">
      <c r="A65"/>
      <c r="B65"/>
      <c r="H65"/>
      <c r="I65"/>
      <c r="J65"/>
      <c r="K65"/>
      <c r="L65"/>
    </row>
    <row r="66" spans="1:12" hidden="1">
      <c r="A66"/>
      <c r="B66"/>
      <c r="H66"/>
      <c r="I66"/>
      <c r="J66"/>
      <c r="K66"/>
      <c r="L66"/>
    </row>
    <row r="67" spans="1:12" hidden="1">
      <c r="A67"/>
      <c r="B67"/>
      <c r="H67"/>
      <c r="I67"/>
      <c r="J67"/>
      <c r="K67"/>
      <c r="L67"/>
    </row>
    <row r="68" spans="1:12" hidden="1">
      <c r="A68"/>
      <c r="B68"/>
      <c r="H68"/>
      <c r="I68"/>
      <c r="J68"/>
      <c r="K68"/>
      <c r="L68"/>
    </row>
    <row r="69" spans="1:12" hidden="1">
      <c r="A69"/>
      <c r="B69"/>
      <c r="H69"/>
      <c r="I69"/>
      <c r="J69"/>
      <c r="K69"/>
      <c r="L69"/>
    </row>
    <row r="70" spans="1:12" hidden="1">
      <c r="A70"/>
      <c r="B70"/>
      <c r="H70"/>
      <c r="I70"/>
      <c r="J70"/>
      <c r="K70"/>
      <c r="L70"/>
    </row>
    <row r="71" spans="1:12" hidden="1">
      <c r="A71"/>
      <c r="B71"/>
      <c r="H71"/>
      <c r="I71"/>
      <c r="J71"/>
      <c r="K71"/>
      <c r="L71"/>
    </row>
    <row r="72" spans="1:12" hidden="1">
      <c r="A72"/>
      <c r="B72"/>
      <c r="H72"/>
      <c r="I72"/>
      <c r="J72"/>
      <c r="K72"/>
      <c r="L72"/>
    </row>
    <row r="73" spans="1:12" hidden="1">
      <c r="A73"/>
      <c r="B73"/>
      <c r="H73"/>
      <c r="I73"/>
      <c r="J73"/>
      <c r="K73"/>
      <c r="L73"/>
    </row>
    <row r="74" spans="1:12" hidden="1">
      <c r="A74"/>
      <c r="B74"/>
      <c r="H74"/>
      <c r="I74"/>
      <c r="J74"/>
      <c r="K74"/>
      <c r="L74"/>
    </row>
    <row r="75" spans="1:12" hidden="1">
      <c r="A75"/>
      <c r="B75"/>
      <c r="H75"/>
      <c r="I75"/>
      <c r="J75"/>
      <c r="K75"/>
      <c r="L75"/>
    </row>
    <row r="76" spans="1:12" hidden="1">
      <c r="A76"/>
      <c r="B76"/>
      <c r="H76"/>
      <c r="I76"/>
      <c r="J76"/>
      <c r="K76"/>
      <c r="L76"/>
    </row>
    <row r="77" spans="1:12" hidden="1">
      <c r="A77"/>
      <c r="B77"/>
      <c r="H77"/>
      <c r="I77"/>
      <c r="J77"/>
      <c r="K77"/>
      <c r="L77"/>
    </row>
    <row r="78" spans="1:12" hidden="1">
      <c r="A78"/>
      <c r="B78"/>
      <c r="H78"/>
      <c r="I78"/>
      <c r="J78"/>
      <c r="K78"/>
      <c r="L78"/>
    </row>
    <row r="79" spans="1:12" hidden="1">
      <c r="A79"/>
      <c r="B79"/>
      <c r="H79"/>
      <c r="I79"/>
      <c r="J79"/>
      <c r="K79"/>
      <c r="L79"/>
    </row>
    <row r="80" spans="1:12" hidden="1">
      <c r="A80"/>
      <c r="B80"/>
      <c r="H80"/>
      <c r="I80"/>
      <c r="J80"/>
      <c r="K80"/>
      <c r="L80"/>
    </row>
    <row r="81" spans="1:12" hidden="1">
      <c r="A81"/>
      <c r="B81"/>
      <c r="H81"/>
      <c r="I81"/>
      <c r="J81"/>
      <c r="K81"/>
      <c r="L81"/>
    </row>
    <row r="82" spans="1:12" hidden="1">
      <c r="A82"/>
      <c r="B82"/>
      <c r="H82"/>
      <c r="I82"/>
      <c r="J82"/>
      <c r="K82"/>
      <c r="L82"/>
    </row>
    <row r="83" spans="1:12" hidden="1">
      <c r="A83"/>
      <c r="B83"/>
      <c r="H83"/>
      <c r="I83"/>
      <c r="J83"/>
      <c r="K83"/>
      <c r="L83"/>
    </row>
    <row r="84" spans="1:12" hidden="1">
      <c r="A84"/>
      <c r="B84"/>
      <c r="H84"/>
      <c r="I84"/>
      <c r="J84"/>
      <c r="K84"/>
      <c r="L84"/>
    </row>
    <row r="85" spans="1:12" hidden="1">
      <c r="A85"/>
      <c r="B85"/>
      <c r="H85"/>
      <c r="I85"/>
      <c r="J85"/>
      <c r="K85"/>
      <c r="L85"/>
    </row>
    <row r="86" spans="1:12" hidden="1">
      <c r="A86"/>
      <c r="B86"/>
      <c r="H86"/>
      <c r="I86"/>
      <c r="J86"/>
      <c r="K86"/>
      <c r="L86"/>
    </row>
    <row r="87" spans="1:12" hidden="1">
      <c r="A87"/>
      <c r="B87"/>
      <c r="H87"/>
      <c r="I87"/>
      <c r="J87"/>
      <c r="K87"/>
      <c r="L87"/>
    </row>
    <row r="88" spans="1:12" hidden="1">
      <c r="A88"/>
      <c r="B88"/>
      <c r="H88"/>
      <c r="I88"/>
      <c r="J88"/>
      <c r="K88"/>
      <c r="L88"/>
    </row>
    <row r="89" spans="1:12" hidden="1">
      <c r="A89"/>
      <c r="B89"/>
      <c r="H89"/>
      <c r="I89"/>
      <c r="J89"/>
      <c r="K89"/>
      <c r="L89"/>
    </row>
    <row r="90" spans="1:12" hidden="1">
      <c r="A90"/>
      <c r="B90"/>
      <c r="H90"/>
      <c r="I90"/>
      <c r="J90"/>
      <c r="K90"/>
      <c r="L90"/>
    </row>
    <row r="91" spans="1:12" hidden="1">
      <c r="A91"/>
      <c r="B91"/>
      <c r="H91"/>
      <c r="I91"/>
      <c r="J91"/>
      <c r="K91"/>
      <c r="L91"/>
    </row>
    <row r="92" spans="1:12" hidden="1">
      <c r="A92"/>
      <c r="B92"/>
      <c r="H92"/>
      <c r="I92"/>
      <c r="J92"/>
      <c r="K92"/>
      <c r="L92"/>
    </row>
    <row r="93" spans="1:12" hidden="1">
      <c r="A93"/>
      <c r="B93"/>
      <c r="H93"/>
      <c r="I93"/>
      <c r="J93"/>
      <c r="K93"/>
      <c r="L93"/>
    </row>
    <row r="94" spans="1:12" hidden="1">
      <c r="A94"/>
      <c r="B94"/>
      <c r="H94"/>
      <c r="I94"/>
      <c r="J94"/>
      <c r="K94"/>
      <c r="L94"/>
    </row>
    <row r="95" spans="1:12" hidden="1">
      <c r="A95"/>
      <c r="B95"/>
      <c r="H95"/>
      <c r="I95"/>
      <c r="J95"/>
      <c r="K95"/>
      <c r="L95"/>
    </row>
    <row r="96" spans="1:12" hidden="1">
      <c r="A96"/>
      <c r="B96"/>
      <c r="H96"/>
      <c r="I96"/>
      <c r="J96"/>
      <c r="K96"/>
      <c r="L96"/>
    </row>
    <row r="97" spans="1:12" hidden="1">
      <c r="A97"/>
      <c r="B97"/>
      <c r="H97"/>
      <c r="I97"/>
      <c r="J97"/>
      <c r="K97"/>
      <c r="L97"/>
    </row>
    <row r="98" spans="1:12" hidden="1">
      <c r="A98"/>
      <c r="B98"/>
      <c r="H98"/>
      <c r="I98"/>
      <c r="J98"/>
      <c r="K98"/>
      <c r="L98"/>
    </row>
    <row r="99" spans="1:12" hidden="1">
      <c r="A99"/>
      <c r="B99"/>
      <c r="H99"/>
      <c r="I99"/>
      <c r="J99"/>
      <c r="K99"/>
      <c r="L99"/>
    </row>
    <row r="100" spans="1:12" hidden="1">
      <c r="A100"/>
      <c r="B100"/>
      <c r="H100"/>
      <c r="I100"/>
      <c r="J100"/>
      <c r="K100"/>
      <c r="L100"/>
    </row>
    <row r="101" spans="1:12" hidden="1">
      <c r="A101"/>
      <c r="B101"/>
      <c r="H101"/>
      <c r="I101"/>
      <c r="J101"/>
      <c r="K101"/>
      <c r="L101"/>
    </row>
    <row r="102" spans="1:12" hidden="1">
      <c r="A102"/>
      <c r="B102"/>
      <c r="H102"/>
      <c r="I102"/>
      <c r="J102"/>
      <c r="K102"/>
      <c r="L102"/>
    </row>
    <row r="103" spans="1:12" hidden="1">
      <c r="A103"/>
      <c r="B103"/>
      <c r="H103"/>
      <c r="I103"/>
      <c r="J103"/>
      <c r="K103"/>
      <c r="L103"/>
    </row>
    <row r="104" spans="1:12" hidden="1">
      <c r="A104"/>
      <c r="B104"/>
      <c r="H104"/>
      <c r="I104"/>
      <c r="J104"/>
      <c r="K104"/>
      <c r="L104"/>
    </row>
    <row r="105" spans="1:12" hidden="1">
      <c r="A105"/>
      <c r="B105"/>
      <c r="H105"/>
      <c r="I105"/>
      <c r="J105"/>
      <c r="K105"/>
      <c r="L105"/>
    </row>
    <row r="106" spans="1:12" hidden="1">
      <c r="A106"/>
      <c r="B106"/>
      <c r="H106"/>
      <c r="I106"/>
      <c r="J106"/>
      <c r="K106"/>
      <c r="L106"/>
    </row>
    <row r="107" spans="1:12" hidden="1">
      <c r="A107"/>
      <c r="B107"/>
      <c r="H107"/>
      <c r="I107"/>
      <c r="J107"/>
      <c r="K107"/>
      <c r="L107"/>
    </row>
    <row r="108" spans="1:12" hidden="1">
      <c r="A108"/>
      <c r="B108"/>
      <c r="H108"/>
      <c r="I108"/>
      <c r="J108"/>
      <c r="K108"/>
      <c r="L108"/>
    </row>
    <row r="109" spans="1:12" hidden="1">
      <c r="A109"/>
      <c r="B109"/>
      <c r="H109"/>
      <c r="I109"/>
      <c r="J109"/>
      <c r="K109"/>
      <c r="L109"/>
    </row>
    <row r="110" spans="1:12" hidden="1">
      <c r="A110"/>
      <c r="B110"/>
      <c r="H110"/>
      <c r="I110"/>
      <c r="J110"/>
      <c r="K110"/>
      <c r="L110"/>
    </row>
    <row r="111" spans="1:12" hidden="1">
      <c r="A111"/>
      <c r="B111"/>
      <c r="H111"/>
      <c r="I111"/>
      <c r="J111"/>
      <c r="K111"/>
      <c r="L111"/>
    </row>
    <row r="112" spans="1:12" hidden="1">
      <c r="A112"/>
      <c r="B112"/>
      <c r="H112"/>
      <c r="I112"/>
      <c r="J112"/>
      <c r="K112"/>
      <c r="L112"/>
    </row>
    <row r="113" spans="1:12" hidden="1">
      <c r="A113"/>
      <c r="B113"/>
      <c r="H113"/>
      <c r="I113"/>
      <c r="J113"/>
      <c r="K113"/>
      <c r="L113"/>
    </row>
    <row r="114" spans="1:12" hidden="1">
      <c r="A114"/>
      <c r="B114"/>
      <c r="H114"/>
      <c r="I114"/>
      <c r="J114"/>
      <c r="K114"/>
      <c r="L114"/>
    </row>
    <row r="115" spans="1:12" hidden="1">
      <c r="A115"/>
      <c r="B115"/>
      <c r="H115"/>
      <c r="I115"/>
      <c r="J115"/>
      <c r="K115"/>
      <c r="L115"/>
    </row>
    <row r="116" spans="1:12" hidden="1">
      <c r="A116"/>
      <c r="B116"/>
      <c r="H116"/>
      <c r="I116"/>
      <c r="J116"/>
      <c r="K116"/>
      <c r="L116"/>
    </row>
    <row r="117" spans="1:12" hidden="1">
      <c r="A117"/>
      <c r="B117"/>
      <c r="H117"/>
      <c r="I117"/>
      <c r="J117"/>
      <c r="K117"/>
      <c r="L117"/>
    </row>
    <row r="118" spans="1:12" hidden="1">
      <c r="A118"/>
      <c r="B118"/>
      <c r="H118"/>
      <c r="I118"/>
      <c r="J118"/>
      <c r="K118"/>
      <c r="L118"/>
    </row>
    <row r="119" spans="1:12" hidden="1">
      <c r="A119"/>
      <c r="B119"/>
      <c r="H119"/>
      <c r="I119"/>
      <c r="J119"/>
      <c r="K119"/>
      <c r="L119"/>
    </row>
    <row r="120" spans="1:12" hidden="1">
      <c r="A120"/>
      <c r="B120"/>
      <c r="H120"/>
      <c r="I120"/>
      <c r="J120"/>
      <c r="K120"/>
      <c r="L120"/>
    </row>
    <row r="121" spans="1:12" hidden="1">
      <c r="A121"/>
      <c r="B121"/>
      <c r="H121"/>
      <c r="I121"/>
      <c r="J121"/>
      <c r="K121"/>
      <c r="L121"/>
    </row>
    <row r="122" spans="1:12" hidden="1">
      <c r="A122"/>
      <c r="B122"/>
      <c r="H122"/>
      <c r="I122"/>
      <c r="J122"/>
      <c r="K122"/>
      <c r="L122"/>
    </row>
    <row r="123" spans="1:12" hidden="1">
      <c r="A123"/>
      <c r="B123"/>
      <c r="H123"/>
      <c r="I123"/>
      <c r="J123"/>
      <c r="K123"/>
      <c r="L123"/>
    </row>
    <row r="124" spans="1:12" hidden="1">
      <c r="A124"/>
      <c r="B124"/>
      <c r="H124"/>
      <c r="I124"/>
      <c r="J124"/>
      <c r="K124"/>
      <c r="L124"/>
    </row>
    <row r="125" spans="1:12" hidden="1">
      <c r="A125"/>
      <c r="B125"/>
      <c r="H125"/>
      <c r="I125"/>
      <c r="J125"/>
      <c r="K125"/>
      <c r="L125"/>
    </row>
    <row r="126" spans="1:12" hidden="1">
      <c r="A126"/>
      <c r="B126"/>
      <c r="H126"/>
      <c r="I126"/>
      <c r="J126"/>
      <c r="K126"/>
      <c r="L126"/>
    </row>
    <row r="127" spans="1:12" hidden="1">
      <c r="A127"/>
      <c r="B127"/>
      <c r="H127"/>
      <c r="I127"/>
      <c r="J127"/>
      <c r="K127"/>
      <c r="L127"/>
    </row>
    <row r="128" spans="1:12" hidden="1">
      <c r="A128"/>
      <c r="B128"/>
      <c r="H128"/>
      <c r="I128"/>
      <c r="J128"/>
      <c r="K128"/>
      <c r="L128"/>
    </row>
    <row r="129" spans="1:12" hidden="1">
      <c r="A129"/>
      <c r="B129"/>
      <c r="H129"/>
      <c r="I129"/>
      <c r="J129"/>
      <c r="K129"/>
      <c r="L129"/>
    </row>
    <row r="130" spans="1:12" hidden="1">
      <c r="A130"/>
      <c r="B130"/>
      <c r="H130"/>
      <c r="I130"/>
      <c r="J130"/>
      <c r="K130"/>
      <c r="L130"/>
    </row>
    <row r="131" spans="1:12" hidden="1">
      <c r="A131"/>
      <c r="B131"/>
      <c r="H131"/>
      <c r="I131"/>
      <c r="J131"/>
      <c r="K131"/>
      <c r="L131"/>
    </row>
    <row r="132" spans="1:12" hidden="1">
      <c r="A132"/>
      <c r="B132"/>
      <c r="H132"/>
      <c r="I132"/>
      <c r="J132"/>
      <c r="K132"/>
      <c r="L132"/>
    </row>
    <row r="133" spans="1:12" hidden="1">
      <c r="A133"/>
      <c r="B133"/>
      <c r="H133"/>
      <c r="I133"/>
      <c r="J133"/>
      <c r="K133"/>
      <c r="L133"/>
    </row>
    <row r="134" spans="1:12" hidden="1">
      <c r="A134"/>
      <c r="B134"/>
      <c r="H134"/>
      <c r="I134"/>
      <c r="J134"/>
      <c r="K134"/>
      <c r="L134"/>
    </row>
    <row r="135" spans="1:12" hidden="1">
      <c r="A135"/>
      <c r="B135"/>
      <c r="H135"/>
      <c r="I135"/>
      <c r="J135"/>
      <c r="K135"/>
      <c r="L135"/>
    </row>
    <row r="136" spans="1:12" hidden="1">
      <c r="A136"/>
      <c r="B136"/>
      <c r="H136"/>
      <c r="I136"/>
      <c r="J136"/>
      <c r="K136"/>
      <c r="L136"/>
    </row>
    <row r="137" spans="1:12" hidden="1">
      <c r="A137"/>
      <c r="B137"/>
      <c r="H137"/>
      <c r="I137"/>
      <c r="J137"/>
      <c r="K137"/>
      <c r="L137"/>
    </row>
    <row r="138" spans="1:12" hidden="1">
      <c r="A138"/>
      <c r="B138"/>
      <c r="H138"/>
      <c r="I138"/>
      <c r="J138"/>
      <c r="K138"/>
      <c r="L138"/>
    </row>
    <row r="139" spans="1:12" hidden="1">
      <c r="A139"/>
      <c r="B139"/>
      <c r="H139"/>
      <c r="I139"/>
      <c r="J139"/>
      <c r="K139"/>
      <c r="L139"/>
    </row>
    <row r="140" spans="1:12" hidden="1">
      <c r="A140"/>
      <c r="B140"/>
      <c r="H140"/>
      <c r="I140"/>
      <c r="J140"/>
      <c r="K140"/>
      <c r="L140"/>
    </row>
    <row r="141" spans="1:12" hidden="1">
      <c r="A141"/>
      <c r="B141"/>
      <c r="H141"/>
      <c r="I141"/>
      <c r="J141"/>
      <c r="K141"/>
      <c r="L141"/>
    </row>
    <row r="142" spans="1:12" hidden="1">
      <c r="A142"/>
      <c r="B142"/>
      <c r="H142"/>
      <c r="I142"/>
      <c r="J142"/>
      <c r="K142"/>
      <c r="L142"/>
    </row>
    <row r="143" spans="1:12" hidden="1">
      <c r="A143"/>
      <c r="B143"/>
      <c r="H143"/>
      <c r="I143"/>
      <c r="J143"/>
      <c r="K143"/>
      <c r="L143"/>
    </row>
    <row r="144" spans="1:12" hidden="1">
      <c r="A144"/>
      <c r="B144"/>
      <c r="H144"/>
      <c r="I144"/>
      <c r="J144"/>
      <c r="K144"/>
      <c r="L144"/>
    </row>
    <row r="145" spans="1:12" hidden="1">
      <c r="A145"/>
      <c r="B145"/>
      <c r="H145"/>
      <c r="I145"/>
      <c r="J145"/>
      <c r="K145"/>
      <c r="L145"/>
    </row>
    <row r="146" spans="1:12" hidden="1">
      <c r="A146"/>
      <c r="B146"/>
      <c r="H146"/>
      <c r="I146"/>
      <c r="J146"/>
      <c r="K146"/>
      <c r="L146"/>
    </row>
    <row r="147" spans="1:12" hidden="1">
      <c r="A147"/>
      <c r="B147"/>
      <c r="H147"/>
      <c r="I147"/>
      <c r="J147"/>
      <c r="K147"/>
      <c r="L147"/>
    </row>
    <row r="148" spans="1:12" hidden="1">
      <c r="A148"/>
      <c r="B148"/>
      <c r="H148"/>
      <c r="I148"/>
      <c r="J148"/>
      <c r="K148"/>
      <c r="L148"/>
    </row>
    <row r="149" spans="1:12" hidden="1">
      <c r="A149"/>
      <c r="B149"/>
      <c r="H149"/>
      <c r="I149"/>
      <c r="J149"/>
      <c r="K149"/>
      <c r="L149"/>
    </row>
    <row r="150" spans="1:12" hidden="1">
      <c r="A150"/>
      <c r="B150"/>
      <c r="H150"/>
      <c r="I150"/>
      <c r="J150"/>
      <c r="K150"/>
      <c r="L150"/>
    </row>
    <row r="151" spans="1:12" hidden="1">
      <c r="A151"/>
      <c r="B151"/>
      <c r="H151"/>
      <c r="I151"/>
      <c r="J151"/>
      <c r="K151"/>
      <c r="L151"/>
    </row>
    <row r="152" spans="1:12" hidden="1">
      <c r="A152"/>
      <c r="B152"/>
      <c r="H152"/>
      <c r="I152"/>
      <c r="J152"/>
      <c r="K152"/>
      <c r="L152"/>
    </row>
    <row r="153" spans="1:12" hidden="1">
      <c r="A153"/>
      <c r="B153"/>
      <c r="H153"/>
      <c r="I153"/>
      <c r="J153"/>
      <c r="K153"/>
      <c r="L153"/>
    </row>
    <row r="154" spans="1:12" hidden="1">
      <c r="A154"/>
      <c r="B154"/>
      <c r="H154"/>
      <c r="I154"/>
      <c r="J154"/>
      <c r="K154"/>
      <c r="L154"/>
    </row>
    <row r="155" spans="1:12" hidden="1">
      <c r="A155"/>
      <c r="B155"/>
      <c r="H155"/>
      <c r="I155"/>
      <c r="J155"/>
      <c r="K155"/>
      <c r="L155"/>
    </row>
    <row r="156" spans="1:12" hidden="1">
      <c r="A156"/>
      <c r="B156"/>
      <c r="H156"/>
      <c r="I156"/>
      <c r="J156"/>
      <c r="K156"/>
      <c r="L156"/>
    </row>
    <row r="157" spans="1:12" hidden="1">
      <c r="A157"/>
      <c r="B157"/>
      <c r="H157"/>
      <c r="I157"/>
      <c r="J157"/>
      <c r="K157"/>
      <c r="L157"/>
    </row>
    <row r="158" spans="1:12" hidden="1">
      <c r="A158"/>
      <c r="B158"/>
      <c r="H158"/>
      <c r="I158"/>
      <c r="J158"/>
      <c r="K158"/>
      <c r="L158"/>
    </row>
    <row r="159" spans="1:12" hidden="1">
      <c r="A159"/>
      <c r="B159"/>
      <c r="H159"/>
      <c r="I159"/>
      <c r="J159"/>
      <c r="K159"/>
      <c r="L159"/>
    </row>
    <row r="160" spans="1:12" hidden="1">
      <c r="A160"/>
      <c r="B160"/>
      <c r="H160"/>
      <c r="I160"/>
      <c r="J160"/>
      <c r="K160"/>
      <c r="L160"/>
    </row>
    <row r="161" spans="1:12" hidden="1">
      <c r="A161"/>
      <c r="B161"/>
      <c r="H161"/>
      <c r="I161"/>
      <c r="J161"/>
      <c r="K161"/>
      <c r="L161"/>
    </row>
    <row r="162" spans="1:12" hidden="1">
      <c r="A162"/>
      <c r="B162"/>
      <c r="H162"/>
      <c r="I162"/>
      <c r="J162"/>
      <c r="K162"/>
      <c r="L162"/>
    </row>
    <row r="163" spans="1:12" hidden="1">
      <c r="A163"/>
      <c r="B163"/>
      <c r="H163"/>
      <c r="I163"/>
      <c r="J163"/>
      <c r="K163"/>
      <c r="L163"/>
    </row>
    <row r="164" spans="1:12" hidden="1">
      <c r="A164"/>
      <c r="B164"/>
      <c r="H164"/>
      <c r="I164"/>
      <c r="J164"/>
      <c r="K164"/>
      <c r="L164"/>
    </row>
    <row r="165" spans="1:12" hidden="1">
      <c r="A165"/>
      <c r="B165"/>
      <c r="H165"/>
      <c r="I165"/>
      <c r="J165"/>
      <c r="K165"/>
      <c r="L165"/>
    </row>
    <row r="166" spans="1:12" hidden="1">
      <c r="A166"/>
      <c r="B166"/>
      <c r="H166"/>
      <c r="I166"/>
      <c r="J166"/>
      <c r="K166"/>
      <c r="L166"/>
    </row>
    <row r="167" spans="1:12" hidden="1">
      <c r="A167"/>
      <c r="B167"/>
      <c r="H167"/>
      <c r="I167"/>
      <c r="J167"/>
      <c r="K167"/>
      <c r="L167"/>
    </row>
    <row r="168" spans="1:12" hidden="1">
      <c r="A168"/>
      <c r="B168"/>
      <c r="H168"/>
      <c r="I168"/>
      <c r="J168"/>
      <c r="K168"/>
      <c r="L168"/>
    </row>
    <row r="169" spans="1:12" hidden="1">
      <c r="A169"/>
      <c r="B169"/>
      <c r="H169"/>
      <c r="I169"/>
      <c r="J169"/>
      <c r="K169"/>
      <c r="L169"/>
    </row>
    <row r="170" spans="1:12" hidden="1">
      <c r="A170"/>
      <c r="B170"/>
      <c r="H170"/>
      <c r="I170"/>
      <c r="J170"/>
      <c r="K170"/>
      <c r="L170"/>
    </row>
    <row r="171" spans="1:12" hidden="1">
      <c r="A171"/>
      <c r="B171"/>
      <c r="H171"/>
      <c r="I171"/>
      <c r="J171"/>
      <c r="K171"/>
      <c r="L171"/>
    </row>
    <row r="172" spans="1:12" hidden="1">
      <c r="A172"/>
      <c r="B172"/>
      <c r="H172"/>
      <c r="I172"/>
      <c r="J172"/>
      <c r="K172"/>
      <c r="L172"/>
    </row>
  </sheetData>
  <mergeCells count="4">
    <mergeCell ref="C5:G5"/>
    <mergeCell ref="C7:I7"/>
    <mergeCell ref="C4:I4"/>
    <mergeCell ref="C3:I3"/>
  </mergeCells>
  <pageMargins left="0.7" right="0.7" top="0.75" bottom="0.75" header="0.3" footer="0.3"/>
  <pageSetup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7C5C2-2FB2-4F36-A7FD-7F4036F3FDB0}">
  <sheetPr codeName="Sheet9"/>
  <dimension ref="A1:Q58"/>
  <sheetViews>
    <sheetView topLeftCell="A52" workbookViewId="0">
      <selection activeCell="M70" sqref="M70"/>
    </sheetView>
  </sheetViews>
  <sheetFormatPr defaultColWidth="0" defaultRowHeight="14.45"/>
  <cols>
    <col min="1" max="1" width="4.85546875" style="13" customWidth="1"/>
    <col min="2" max="2" width="5.140625" style="13" customWidth="1"/>
    <col min="3" max="3" width="23.42578125" customWidth="1"/>
    <col min="4" max="4" width="20.42578125" hidden="1" customWidth="1"/>
    <col min="5" max="5" width="26.5703125" customWidth="1"/>
    <col min="6" max="6" width="22.42578125" customWidth="1"/>
    <col min="7" max="7" width="23" customWidth="1"/>
    <col min="8" max="8" width="21.5703125" style="13" customWidth="1"/>
    <col min="9" max="17" width="8.7109375" style="13" customWidth="1"/>
    <col min="18" max="16384" width="8.7109375" hidden="1"/>
  </cols>
  <sheetData>
    <row r="1" spans="3:8" ht="15.6">
      <c r="C1" s="16"/>
      <c r="D1" s="13"/>
      <c r="E1" s="13"/>
      <c r="F1" s="13"/>
      <c r="G1" s="13"/>
    </row>
    <row r="2" spans="3:8" ht="15.6">
      <c r="C2" s="16"/>
      <c r="D2" s="13"/>
      <c r="E2" s="13"/>
      <c r="F2" s="13"/>
      <c r="G2" s="13"/>
    </row>
    <row r="3" spans="3:8" ht="23.45">
      <c r="C3" s="279" t="s">
        <v>0</v>
      </c>
      <c r="D3" s="279"/>
      <c r="E3" s="279"/>
      <c r="F3" s="279"/>
      <c r="G3" s="279"/>
    </row>
    <row r="4" spans="3:8" ht="23.45">
      <c r="C4" s="279" t="s">
        <v>204</v>
      </c>
      <c r="D4" s="279"/>
      <c r="E4" s="279"/>
      <c r="F4" s="279"/>
      <c r="G4" s="279"/>
    </row>
    <row r="5" spans="3:8" ht="18.600000000000001">
      <c r="C5" s="280"/>
      <c r="D5" s="280"/>
      <c r="E5" s="280"/>
      <c r="F5" s="280"/>
      <c r="G5" s="280"/>
      <c r="H5" s="194"/>
    </row>
    <row r="6" spans="3:8" ht="9.6" customHeight="1">
      <c r="C6" s="13"/>
      <c r="D6" s="13"/>
      <c r="E6" s="13"/>
      <c r="F6" s="13"/>
      <c r="G6" s="13"/>
    </row>
    <row r="7" spans="3:8">
      <c r="C7" s="13"/>
      <c r="D7" s="13"/>
      <c r="E7" s="13"/>
      <c r="F7" s="13"/>
    </row>
    <row r="8" spans="3:8" ht="18.600000000000001" customHeight="1">
      <c r="C8" s="278" t="s">
        <v>236</v>
      </c>
      <c r="D8" s="278"/>
      <c r="E8" s="278"/>
      <c r="F8" s="278"/>
      <c r="G8" s="278"/>
      <c r="H8" s="194"/>
    </row>
    <row r="9" spans="3:8">
      <c r="C9" s="13"/>
      <c r="D9" s="13"/>
      <c r="E9" s="13"/>
      <c r="F9" s="13"/>
      <c r="G9" s="13"/>
    </row>
    <row r="10" spans="3:8" ht="18.600000000000001">
      <c r="C10" s="79" t="s">
        <v>237</v>
      </c>
      <c r="D10" s="13"/>
      <c r="E10" s="13"/>
      <c r="F10" s="13"/>
      <c r="G10" s="13"/>
    </row>
    <row r="11" spans="3:8">
      <c r="C11" s="13"/>
      <c r="D11" s="13"/>
      <c r="E11" s="13"/>
      <c r="F11" s="13"/>
      <c r="G11" s="13"/>
    </row>
    <row r="12" spans="3:8" ht="15.6">
      <c r="C12" s="75" t="s">
        <v>238</v>
      </c>
      <c r="D12" s="219" t="s">
        <v>84</v>
      </c>
      <c r="E12" s="75" t="s">
        <v>138</v>
      </c>
      <c r="F12" s="75" t="s">
        <v>239</v>
      </c>
      <c r="G12" s="76" t="s">
        <v>240</v>
      </c>
    </row>
    <row r="13" spans="3:8" ht="16.5" customHeight="1">
      <c r="C13" s="9" t="s">
        <v>241</v>
      </c>
      <c r="D13" s="6" t="s">
        <v>242</v>
      </c>
      <c r="E13" s="34">
        <f>business_legacy_cost_1_year</f>
        <v>0</v>
      </c>
      <c r="F13" s="10">
        <f>business_legacy_cost_2_year</f>
        <v>0</v>
      </c>
      <c r="G13" s="10">
        <f>business_legacy_cost_3_year</f>
        <v>0</v>
      </c>
    </row>
    <row r="14" spans="3:8" ht="15" customHeight="1">
      <c r="C14" s="9" t="s">
        <v>243</v>
      </c>
      <c r="D14" s="6" t="s">
        <v>244</v>
      </c>
      <c r="E14" s="34">
        <f ca="1">operational_legacy_cost_1_year</f>
        <v>0</v>
      </c>
      <c r="F14" s="10">
        <f ca="1">operational_legacy_cost_2_year</f>
        <v>0</v>
      </c>
      <c r="G14" s="10">
        <f ca="1">operational_legacy_cost_2_year</f>
        <v>0</v>
      </c>
    </row>
    <row r="15" spans="3:8" ht="14.45" customHeight="1">
      <c r="C15" s="39" t="s">
        <v>245</v>
      </c>
      <c r="D15" s="40" t="s">
        <v>246</v>
      </c>
      <c r="E15" s="41">
        <f ca="1">total_legacy_cost_1_year</f>
        <v>0</v>
      </c>
      <c r="F15" s="41">
        <f ca="1">total_legacy_cost_1_year</f>
        <v>0</v>
      </c>
      <c r="G15" s="41">
        <f ca="1">total_legacy_cost_1_year</f>
        <v>0</v>
      </c>
    </row>
    <row r="16" spans="3:8" ht="15" customHeight="1">
      <c r="C16" s="78" t="s">
        <v>247</v>
      </c>
      <c r="D16" s="6" t="s">
        <v>248</v>
      </c>
      <c r="E16" s="34">
        <f>business_cloud_cost_1_year</f>
        <v>0</v>
      </c>
      <c r="F16" s="33">
        <f>business_cloud_cost_2_year</f>
        <v>0</v>
      </c>
      <c r="G16" s="33">
        <f>business_cloud_cost_3_year</f>
        <v>0</v>
      </c>
    </row>
    <row r="17" spans="3:7" ht="14.1" customHeight="1">
      <c r="C17" s="9" t="s">
        <v>249</v>
      </c>
      <c r="D17" s="6" t="s">
        <v>250</v>
      </c>
      <c r="E17" s="34">
        <f>operational_cloud_cost_1_year</f>
        <v>0</v>
      </c>
      <c r="F17" s="33">
        <f>operational_cloud_cost_2_year</f>
        <v>0</v>
      </c>
      <c r="G17" s="33">
        <f>operational_cloud_cost_3_year</f>
        <v>0</v>
      </c>
    </row>
    <row r="18" spans="3:7" ht="15.6">
      <c r="C18" s="39" t="s">
        <v>251</v>
      </c>
      <c r="D18" s="40"/>
      <c r="E18" s="41">
        <f>total_cloud_cost_1_year</f>
        <v>0</v>
      </c>
      <c r="F18" s="41">
        <f>total_cloud_cost_1_year</f>
        <v>0</v>
      </c>
      <c r="G18" s="41">
        <f>total_cloud_cost_1_year</f>
        <v>0</v>
      </c>
    </row>
    <row r="19" spans="3:7">
      <c r="C19" s="13"/>
      <c r="D19" s="13"/>
      <c r="E19" s="13"/>
      <c r="F19" s="13"/>
      <c r="G19" s="13"/>
    </row>
    <row r="20" spans="3:7" ht="18.600000000000001">
      <c r="C20" s="79" t="s">
        <v>252</v>
      </c>
      <c r="D20" s="13"/>
      <c r="E20" s="13"/>
      <c r="F20" s="13"/>
      <c r="G20" s="13"/>
    </row>
    <row r="21" spans="3:7">
      <c r="C21" s="13"/>
      <c r="D21" s="13"/>
      <c r="E21" s="13"/>
      <c r="F21" s="13"/>
      <c r="G21" s="13"/>
    </row>
    <row r="22" spans="3:7" ht="15.6">
      <c r="C22" s="75" t="s">
        <v>238</v>
      </c>
      <c r="D22" s="219" t="s">
        <v>84</v>
      </c>
      <c r="E22" s="75" t="s">
        <v>253</v>
      </c>
      <c r="F22" s="75" t="s">
        <v>239</v>
      </c>
      <c r="G22" s="76" t="s">
        <v>240</v>
      </c>
    </row>
    <row r="23" spans="3:7" ht="15" customHeight="1">
      <c r="C23" s="78" t="s">
        <v>247</v>
      </c>
      <c r="D23" s="6" t="s">
        <v>248</v>
      </c>
      <c r="E23" s="34">
        <f>business_cloud_cost_1_year</f>
        <v>0</v>
      </c>
      <c r="F23" s="33">
        <f>business_cloud_cost_2_year</f>
        <v>0</v>
      </c>
      <c r="G23" s="33">
        <f>business_cloud_cost_3_year</f>
        <v>0</v>
      </c>
    </row>
    <row r="24" spans="3:7" ht="15.6" customHeight="1">
      <c r="C24" s="9" t="s">
        <v>241</v>
      </c>
      <c r="D24" s="6" t="s">
        <v>242</v>
      </c>
      <c r="E24" s="34">
        <f>business_legacy_cost_1_year</f>
        <v>0</v>
      </c>
      <c r="F24" s="10">
        <f>business_legacy_cost_2_year</f>
        <v>0</v>
      </c>
      <c r="G24" s="10">
        <f>business_legacy_cost_3_year</f>
        <v>0</v>
      </c>
    </row>
    <row r="25" spans="3:7" ht="16.5" customHeight="1">
      <c r="C25" s="9" t="s">
        <v>249</v>
      </c>
      <c r="D25" s="6" t="s">
        <v>250</v>
      </c>
      <c r="E25" s="34">
        <f>operational_cloud_cost_1_year</f>
        <v>0</v>
      </c>
      <c r="F25" s="33">
        <f>operational_cloud_cost_2_year</f>
        <v>0</v>
      </c>
      <c r="G25" s="33">
        <f>operational_cloud_cost_3_year</f>
        <v>0</v>
      </c>
    </row>
    <row r="26" spans="3:7" ht="15" customHeight="1">
      <c r="C26" s="9" t="s">
        <v>243</v>
      </c>
      <c r="D26" s="6" t="s">
        <v>244</v>
      </c>
      <c r="E26" s="34">
        <f ca="1">operational_legacy_cost_1_year</f>
        <v>0</v>
      </c>
      <c r="F26" s="34">
        <f ca="1">operational_legacy_cost_2_year</f>
        <v>0</v>
      </c>
      <c r="G26" s="34">
        <f ca="1">operational_legacy_cost_3_year</f>
        <v>0</v>
      </c>
    </row>
    <row r="27" spans="3:7" ht="15.6">
      <c r="C27" s="16"/>
      <c r="D27" s="16"/>
      <c r="E27" s="16"/>
      <c r="F27" s="13"/>
      <c r="G27" s="13"/>
    </row>
    <row r="28" spans="3:7" ht="15.6">
      <c r="C28" s="16"/>
      <c r="D28" s="16"/>
      <c r="E28" s="16"/>
      <c r="F28" s="13"/>
      <c r="G28" s="13"/>
    </row>
    <row r="29" spans="3:7" ht="15.6">
      <c r="C29" s="75" t="s">
        <v>238</v>
      </c>
      <c r="D29" s="219" t="s">
        <v>84</v>
      </c>
      <c r="E29" s="75" t="s">
        <v>253</v>
      </c>
      <c r="F29" s="75" t="s">
        <v>239</v>
      </c>
      <c r="G29" s="76" t="s">
        <v>240</v>
      </c>
    </row>
    <row r="30" spans="3:7" ht="15.6">
      <c r="C30" s="9" t="s">
        <v>241</v>
      </c>
      <c r="D30" s="6" t="s">
        <v>242</v>
      </c>
      <c r="E30" s="34">
        <f>business_legacy_cost_1_year</f>
        <v>0</v>
      </c>
      <c r="F30" s="10">
        <f>business_legacy_cost_2_year</f>
        <v>0</v>
      </c>
      <c r="G30" s="10">
        <f>business_legacy_cost_3_year</f>
        <v>0</v>
      </c>
    </row>
    <row r="31" spans="3:7" ht="15.6">
      <c r="C31" s="78" t="s">
        <v>247</v>
      </c>
      <c r="D31" s="6" t="s">
        <v>248</v>
      </c>
      <c r="E31" s="34">
        <f>business_cloud_cost_1_year</f>
        <v>0</v>
      </c>
      <c r="F31" s="33">
        <f>business_cloud_cost_2_year</f>
        <v>0</v>
      </c>
      <c r="G31" s="33">
        <f>business_cloud_cost_3_year</f>
        <v>0</v>
      </c>
    </row>
    <row r="32" spans="3:7" ht="15.6">
      <c r="C32" s="9" t="s">
        <v>243</v>
      </c>
      <c r="D32" s="6" t="s">
        <v>244</v>
      </c>
      <c r="E32" s="34">
        <f ca="1">operational_legacy_cost_1_year</f>
        <v>0</v>
      </c>
      <c r="F32" s="34">
        <f ca="1">operational_legacy_cost_2_year</f>
        <v>0</v>
      </c>
      <c r="G32" s="34">
        <f ca="1">operational_legacy_cost_3_year</f>
        <v>0</v>
      </c>
    </row>
    <row r="33" spans="3:8" ht="15.6">
      <c r="C33" s="9" t="s">
        <v>249</v>
      </c>
      <c r="D33" s="220" t="s">
        <v>250</v>
      </c>
      <c r="E33" s="10">
        <f>operational_cloud_cost_1_year</f>
        <v>0</v>
      </c>
      <c r="F33" s="33">
        <f>operational_cloud_cost_2_year</f>
        <v>0</v>
      </c>
      <c r="G33" s="33">
        <f>operational_cloud_cost_3_year</f>
        <v>0</v>
      </c>
    </row>
    <row r="34" spans="3:8" ht="15.6">
      <c r="C34" s="16"/>
      <c r="D34" s="16"/>
      <c r="E34" s="16"/>
      <c r="F34" s="13"/>
      <c r="G34" s="13"/>
    </row>
    <row r="35" spans="3:8" ht="15.6">
      <c r="C35" s="16"/>
      <c r="D35" s="16"/>
      <c r="E35" s="16"/>
      <c r="F35" s="13"/>
      <c r="G35" s="13"/>
    </row>
    <row r="36" spans="3:8" ht="18.600000000000001">
      <c r="C36" s="79" t="s">
        <v>254</v>
      </c>
      <c r="D36" s="13"/>
      <c r="E36" s="13"/>
      <c r="F36" s="13"/>
      <c r="G36" s="13"/>
    </row>
    <row r="37" spans="3:8">
      <c r="C37" s="13"/>
      <c r="D37" s="13"/>
      <c r="E37" s="13"/>
      <c r="F37" s="13"/>
      <c r="G37" s="13"/>
    </row>
    <row r="38" spans="3:8" ht="15.6">
      <c r="C38" s="75" t="s">
        <v>137</v>
      </c>
      <c r="D38" s="75" t="s">
        <v>84</v>
      </c>
      <c r="E38" s="75" t="s">
        <v>255</v>
      </c>
      <c r="F38" s="75" t="s">
        <v>253</v>
      </c>
      <c r="G38" s="75" t="s">
        <v>239</v>
      </c>
      <c r="H38" s="75" t="s">
        <v>240</v>
      </c>
    </row>
    <row r="39" spans="3:8" ht="21.95">
      <c r="C39" s="113" t="s">
        <v>256</v>
      </c>
      <c r="D39" s="4" t="s">
        <v>257</v>
      </c>
      <c r="E39" s="114">
        <f>total_cloud_cost_1_year</f>
        <v>0</v>
      </c>
      <c r="F39" s="115">
        <f ca="1">total_legacy_cost_1_year-total_cloud_cost_1_year</f>
        <v>0</v>
      </c>
      <c r="G39" s="115">
        <f ca="1">total_legacy_cost_2_year-total_cloud_cost_2_year</f>
        <v>0</v>
      </c>
      <c r="H39" s="115">
        <f ca="1">total_legacy_cost_3_year-total_cloud_cost_3_year</f>
        <v>0</v>
      </c>
    </row>
    <row r="40" spans="3:8" ht="15.6">
      <c r="C40" s="119" t="s">
        <v>258</v>
      </c>
      <c r="D40" s="120"/>
      <c r="E40" s="114">
        <f>total_cloud_cost_1_year</f>
        <v>0</v>
      </c>
      <c r="F40" s="114">
        <f>total_cloud_cost_1_year</f>
        <v>0</v>
      </c>
      <c r="G40" s="114">
        <f>total_cloud_cost_1_year</f>
        <v>0</v>
      </c>
      <c r="H40" s="114">
        <f>total_cloud_cost_1_year</f>
        <v>0</v>
      </c>
    </row>
    <row r="41" spans="3:8" ht="15.6">
      <c r="C41" s="119"/>
      <c r="D41" s="120"/>
      <c r="E41" s="114"/>
      <c r="F41" s="114"/>
      <c r="G41" s="114"/>
      <c r="H41" s="114"/>
    </row>
    <row r="42" spans="3:8">
      <c r="C42" s="13"/>
      <c r="D42" s="13"/>
      <c r="E42" s="13"/>
      <c r="F42" s="13"/>
      <c r="G42" s="13"/>
    </row>
    <row r="43" spans="3:8" ht="15.6">
      <c r="C43" s="127" t="s">
        <v>259</v>
      </c>
      <c r="D43" s="124" t="s">
        <v>260</v>
      </c>
      <c r="E43" s="128" t="s">
        <v>261</v>
      </c>
      <c r="F43" s="13"/>
      <c r="G43" s="13"/>
    </row>
    <row r="44" spans="3:8" ht="15.6">
      <c r="C44" s="16">
        <v>0</v>
      </c>
      <c r="D44" s="16"/>
      <c r="E44" s="116">
        <f ca="1">payback</f>
        <v>0</v>
      </c>
      <c r="F44" s="13"/>
      <c r="G44" s="13"/>
    </row>
    <row r="45" spans="3:8" ht="15.6">
      <c r="C45" s="22">
        <f>total_cloud_cost_1_year</f>
        <v>0</v>
      </c>
      <c r="D45" s="16"/>
      <c r="E45" s="116">
        <f ca="1">payback</f>
        <v>0</v>
      </c>
      <c r="F45" s="13"/>
      <c r="G45" s="13"/>
    </row>
    <row r="46" spans="3:8">
      <c r="C46" s="13"/>
      <c r="D46" s="13"/>
      <c r="E46" s="13"/>
      <c r="F46" s="13"/>
      <c r="G46" s="13"/>
    </row>
    <row r="47" spans="3:8">
      <c r="C47" s="13"/>
      <c r="D47" s="13"/>
      <c r="E47" s="13"/>
      <c r="F47" s="13"/>
      <c r="G47" s="13"/>
    </row>
    <row r="48" spans="3:8">
      <c r="C48" s="13"/>
      <c r="D48" s="13"/>
      <c r="E48" s="13"/>
      <c r="F48" s="13"/>
      <c r="G48" s="13"/>
    </row>
    <row r="49" spans="3:7">
      <c r="C49" s="13"/>
      <c r="D49" s="13"/>
      <c r="E49" s="13"/>
      <c r="F49" s="13"/>
      <c r="G49" s="13"/>
    </row>
    <row r="50" spans="3:7">
      <c r="C50" s="13"/>
      <c r="D50" s="13"/>
      <c r="E50" s="13"/>
      <c r="F50" s="13"/>
      <c r="G50" s="13"/>
    </row>
    <row r="51" spans="3:7">
      <c r="C51" s="13"/>
      <c r="D51" s="13"/>
      <c r="E51" s="13"/>
      <c r="F51" s="13"/>
      <c r="G51" s="13"/>
    </row>
    <row r="52" spans="3:7">
      <c r="C52" s="13"/>
      <c r="D52" s="13"/>
      <c r="E52" s="13"/>
      <c r="F52" s="13"/>
      <c r="G52" s="13"/>
    </row>
    <row r="53" spans="3:7">
      <c r="C53" s="13"/>
      <c r="D53" s="13"/>
      <c r="E53" s="13"/>
      <c r="F53" s="13"/>
      <c r="G53" s="13"/>
    </row>
    <row r="54" spans="3:7">
      <c r="C54" s="13"/>
      <c r="D54" s="13"/>
      <c r="E54" s="13"/>
      <c r="F54" s="13"/>
      <c r="G54" s="13"/>
    </row>
    <row r="55" spans="3:7">
      <c r="C55" s="13"/>
      <c r="D55" s="13"/>
      <c r="E55" s="13"/>
      <c r="F55" s="13"/>
      <c r="G55" s="13"/>
    </row>
    <row r="56" spans="3:7">
      <c r="C56" s="13"/>
      <c r="D56" s="13"/>
      <c r="E56" s="13"/>
      <c r="F56" s="13"/>
      <c r="G56" s="13"/>
    </row>
    <row r="57" spans="3:7">
      <c r="C57" s="13"/>
      <c r="D57" s="13"/>
      <c r="E57" s="13"/>
      <c r="F57" s="13"/>
      <c r="G57" s="13"/>
    </row>
    <row r="58" spans="3:7">
      <c r="C58" s="13"/>
      <c r="D58" s="13"/>
      <c r="E58" s="13"/>
      <c r="F58" s="13"/>
      <c r="G58" s="13"/>
    </row>
  </sheetData>
  <mergeCells count="4">
    <mergeCell ref="C8:G8"/>
    <mergeCell ref="C3:G3"/>
    <mergeCell ref="C4:G4"/>
    <mergeCell ref="C5:G5"/>
  </mergeCells>
  <pageMargins left="0.7" right="0.7" top="0.75" bottom="0.75" header="0.3" footer="0.3"/>
  <drawing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E6C72-ADA8-4A88-AD8D-0DF8EE2F188A}">
  <sheetPr codeName="Sheet6"/>
  <dimension ref="B3:AD112"/>
  <sheetViews>
    <sheetView zoomScale="70" zoomScaleNormal="70" workbookViewId="0">
      <selection activeCell="H19" sqref="H19"/>
    </sheetView>
  </sheetViews>
  <sheetFormatPr defaultColWidth="8.7109375" defaultRowHeight="14.45"/>
  <cols>
    <col min="1" max="19" width="8.7109375" style="13"/>
    <col min="20" max="20" width="8.85546875" style="13" customWidth="1"/>
    <col min="21" max="16384" width="8.7109375" style="13"/>
  </cols>
  <sheetData>
    <row r="3" spans="2:30" ht="23.45" customHeight="1">
      <c r="C3" s="279" t="s">
        <v>0</v>
      </c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</row>
    <row r="4" spans="2:30" ht="23.45" customHeight="1">
      <c r="B4" s="279" t="s">
        <v>262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</row>
    <row r="5" spans="2:30" ht="23.45" customHeight="1"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</row>
    <row r="6" spans="2:30" ht="18.600000000000001" customHeight="1">
      <c r="B6" s="59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</row>
    <row r="8" spans="2:30" ht="30.95" customHeight="1">
      <c r="B8" s="281" t="s">
        <v>63</v>
      </c>
      <c r="C8" s="281"/>
      <c r="D8" s="281"/>
      <c r="E8" s="227"/>
      <c r="F8" s="228" t="str">
        <f>application_name</f>
        <v xml:space="preserve">  </v>
      </c>
      <c r="G8" s="16"/>
    </row>
    <row r="112" ht="14.1" customHeight="1"/>
  </sheetData>
  <mergeCells count="3">
    <mergeCell ref="B8:D8"/>
    <mergeCell ref="C3:AD3"/>
    <mergeCell ref="B4:AD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0F31-4660-447B-81F1-02398B9CB2DF}">
  <sheetPr codeName="Sheet8"/>
  <dimension ref="A1:X1048576"/>
  <sheetViews>
    <sheetView zoomScaleNormal="100" workbookViewId="0">
      <selection activeCell="H19" sqref="H19"/>
    </sheetView>
  </sheetViews>
  <sheetFormatPr defaultColWidth="0" defaultRowHeight="23.45" zeroHeight="1"/>
  <cols>
    <col min="1" max="1" width="7.140625" style="16" customWidth="1"/>
    <col min="2" max="2" width="3.85546875" style="16" customWidth="1"/>
    <col min="3" max="3" width="50.42578125" style="73" bestFit="1" customWidth="1"/>
    <col min="4" max="4" width="30.5703125" style="73" hidden="1" customWidth="1"/>
    <col min="5" max="5" width="46.7109375" style="73" customWidth="1"/>
    <col min="6" max="6" width="20.140625" style="16" bestFit="1" customWidth="1"/>
    <col min="7" max="7" width="20.5703125" style="16" customWidth="1"/>
    <col min="8" max="8" width="19.5703125" style="16" customWidth="1"/>
    <col min="9" max="9" width="23.85546875" style="16" customWidth="1"/>
    <col min="10" max="10" width="20.85546875" style="16" hidden="1" customWidth="1"/>
    <col min="11" max="11" width="23.42578125" style="16" customWidth="1"/>
    <col min="12" max="12" width="25" style="16" customWidth="1"/>
    <col min="13" max="13" width="20.140625" style="16" customWidth="1"/>
    <col min="14" max="14" width="23.5703125" style="16" customWidth="1"/>
    <col min="15" max="15" width="23" style="2" customWidth="1"/>
    <col min="16" max="16" width="0.42578125" style="2" customWidth="1"/>
    <col min="17" max="17" width="23.7109375" style="2" customWidth="1"/>
    <col min="18" max="18" width="22.85546875" style="2" customWidth="1"/>
    <col min="19" max="19" width="26" style="2" customWidth="1"/>
    <col min="20" max="20" width="23" style="2" customWidth="1"/>
    <col min="21" max="21" width="19.140625" style="2" customWidth="1"/>
    <col min="22" max="22" width="8.7109375" style="2" customWidth="1"/>
    <col min="23" max="24" width="0" style="2" hidden="1" customWidth="1"/>
    <col min="25" max="16384" width="8.7109375" style="2" hidden="1"/>
  </cols>
  <sheetData>
    <row r="1" spans="3:24" ht="15.6">
      <c r="C1" s="13"/>
      <c r="D1" s="13"/>
      <c r="E1" s="13"/>
      <c r="F1" s="13"/>
      <c r="O1" s="16"/>
      <c r="P1" s="16"/>
      <c r="Q1" s="16"/>
      <c r="R1" s="16"/>
      <c r="S1" s="16"/>
      <c r="T1" s="16"/>
      <c r="U1" s="16"/>
      <c r="V1" s="16"/>
      <c r="W1" s="16"/>
      <c r="X1" s="16"/>
    </row>
    <row r="2" spans="3:24" ht="15.6">
      <c r="C2" s="13"/>
      <c r="D2" s="13"/>
      <c r="E2" s="13"/>
      <c r="F2" s="13"/>
      <c r="O2" s="16"/>
      <c r="P2" s="16"/>
      <c r="Q2" s="16"/>
      <c r="R2" s="16"/>
      <c r="S2" s="16"/>
      <c r="T2" s="16"/>
      <c r="U2" s="16"/>
      <c r="V2" s="16"/>
      <c r="W2" s="16"/>
      <c r="X2" s="16"/>
    </row>
    <row r="3" spans="3:24">
      <c r="C3" s="279" t="s">
        <v>0</v>
      </c>
      <c r="D3" s="279"/>
      <c r="E3" s="279"/>
      <c r="F3" s="279"/>
      <c r="G3" s="279"/>
      <c r="O3" s="16"/>
      <c r="P3" s="16"/>
      <c r="Q3" s="16"/>
      <c r="R3" s="16"/>
      <c r="S3" s="16"/>
      <c r="T3" s="16"/>
      <c r="U3" s="16"/>
      <c r="V3" s="16"/>
      <c r="W3" s="16"/>
      <c r="X3" s="16"/>
    </row>
    <row r="4" spans="3:24" ht="18.600000000000001" customHeight="1">
      <c r="C4" s="279" t="s">
        <v>263</v>
      </c>
      <c r="D4" s="279"/>
      <c r="E4" s="279"/>
      <c r="F4" s="279"/>
      <c r="G4" s="279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3:24" ht="18.600000000000001">
      <c r="C5" s="59"/>
      <c r="D5" s="51"/>
      <c r="E5" s="51"/>
      <c r="F5" s="51"/>
      <c r="G5" s="51"/>
      <c r="H5" s="59"/>
      <c r="O5" s="16"/>
      <c r="P5" s="16"/>
      <c r="Q5" s="16"/>
      <c r="R5" s="16"/>
      <c r="S5" s="16"/>
      <c r="T5" s="16"/>
      <c r="U5" s="16"/>
      <c r="V5" s="16"/>
      <c r="W5" s="16"/>
      <c r="X5" s="16"/>
    </row>
    <row r="6" spans="3:24" ht="15.6">
      <c r="C6" s="14"/>
      <c r="D6" s="16"/>
      <c r="E6" s="16"/>
      <c r="O6" s="16"/>
      <c r="P6" s="16"/>
      <c r="Q6" s="16"/>
      <c r="R6" s="16"/>
      <c r="S6" s="16"/>
      <c r="T6" s="16"/>
      <c r="U6" s="16"/>
      <c r="V6" s="16"/>
      <c r="W6" s="16"/>
      <c r="X6" s="16"/>
    </row>
    <row r="7" spans="3:24" ht="15.6">
      <c r="C7" s="14"/>
      <c r="D7" s="16"/>
      <c r="E7" s="16"/>
      <c r="O7" s="16"/>
      <c r="P7" s="16"/>
      <c r="Q7" s="16"/>
      <c r="R7" s="16"/>
      <c r="S7" s="16"/>
      <c r="T7" s="16"/>
      <c r="U7" s="16"/>
      <c r="V7" s="16"/>
      <c r="W7" s="16"/>
      <c r="X7" s="16"/>
    </row>
    <row r="8" spans="3:24" ht="15.6">
      <c r="C8" s="14" t="s">
        <v>63</v>
      </c>
      <c r="D8" s="14"/>
      <c r="E8" s="132" t="str">
        <f>application_name</f>
        <v xml:space="preserve">  </v>
      </c>
      <c r="O8" s="16"/>
      <c r="P8" s="16"/>
      <c r="Q8" s="16"/>
      <c r="R8" s="16"/>
      <c r="S8" s="16"/>
      <c r="T8" s="16"/>
      <c r="U8" s="16"/>
      <c r="V8" s="16"/>
      <c r="W8" s="16"/>
      <c r="X8" s="16"/>
    </row>
    <row r="9" spans="3:24" ht="15.6">
      <c r="C9" s="14" t="s">
        <v>264</v>
      </c>
      <c r="D9" s="16"/>
      <c r="E9" s="172">
        <f ca="1">savings_in_operational_expenditures_3_year</f>
        <v>0</v>
      </c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3:24" ht="15.6">
      <c r="C10" s="14" t="s">
        <v>265</v>
      </c>
      <c r="D10" s="16"/>
      <c r="E10" s="83">
        <f ca="1">ROI_2_year</f>
        <v>0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3:24">
      <c r="C11" s="14" t="s">
        <v>266</v>
      </c>
      <c r="D11" s="16"/>
      <c r="E11" s="171">
        <f>increased_productivity_IT_team_1_year</f>
        <v>0</v>
      </c>
      <c r="I11" s="155" t="s">
        <v>267</v>
      </c>
      <c r="J11" s="155"/>
      <c r="O11" s="16"/>
      <c r="P11" s="16"/>
      <c r="Q11" s="16"/>
      <c r="R11" s="16"/>
      <c r="S11" s="16"/>
      <c r="T11" s="16"/>
      <c r="U11" s="16"/>
      <c r="V11" s="16"/>
      <c r="W11" s="16"/>
      <c r="X11" s="16"/>
    </row>
    <row r="12" spans="3:24" ht="15.6">
      <c r="C12" s="12" t="s">
        <v>268</v>
      </c>
      <c r="D12" s="2"/>
      <c r="E12" s="121">
        <f>initial_investment</f>
        <v>0</v>
      </c>
      <c r="O12" s="16"/>
      <c r="P12" s="16"/>
      <c r="Q12" s="16"/>
      <c r="R12" s="16"/>
      <c r="S12" s="16"/>
      <c r="T12" s="16"/>
      <c r="U12" s="16"/>
      <c r="V12" s="16"/>
      <c r="W12" s="16"/>
      <c r="X12" s="16"/>
    </row>
    <row r="13" spans="3:24" ht="15.6">
      <c r="C13" s="14"/>
      <c r="D13" s="16"/>
      <c r="E13" s="16"/>
      <c r="O13" s="16"/>
      <c r="P13" s="16"/>
      <c r="Q13" s="16"/>
      <c r="R13" s="16"/>
      <c r="S13" s="16"/>
      <c r="T13" s="16"/>
      <c r="U13" s="16"/>
      <c r="V13" s="16"/>
      <c r="W13" s="16"/>
      <c r="X13" s="16"/>
    </row>
    <row r="14" spans="3:24" ht="15.6">
      <c r="C14" s="14"/>
      <c r="D14" s="16"/>
      <c r="E14" s="16"/>
      <c r="O14" s="16"/>
      <c r="P14" s="16"/>
      <c r="Q14" s="16"/>
      <c r="R14" s="16"/>
      <c r="S14" s="16"/>
      <c r="T14" s="16"/>
      <c r="U14" s="16"/>
      <c r="V14" s="16"/>
      <c r="W14" s="16"/>
      <c r="X14" s="16"/>
    </row>
    <row r="15" spans="3:24" ht="15.6">
      <c r="C15" s="122" t="s">
        <v>269</v>
      </c>
      <c r="D15" s="123" t="s">
        <v>84</v>
      </c>
      <c r="E15" s="122" t="s">
        <v>270</v>
      </c>
      <c r="I15" s="74" t="s">
        <v>271</v>
      </c>
      <c r="J15" s="74" t="s">
        <v>84</v>
      </c>
      <c r="K15" s="74" t="s">
        <v>255</v>
      </c>
      <c r="L15" s="74" t="s">
        <v>170</v>
      </c>
      <c r="M15" s="74" t="s">
        <v>171</v>
      </c>
      <c r="N15" s="74" t="s">
        <v>172</v>
      </c>
      <c r="O15" s="16"/>
      <c r="P15" s="16"/>
      <c r="Q15" s="16"/>
      <c r="R15" s="16"/>
      <c r="S15" s="16"/>
      <c r="T15" s="16"/>
      <c r="U15" s="16"/>
      <c r="V15" s="16"/>
      <c r="W15" s="16"/>
    </row>
    <row r="16" spans="3:24" ht="18" customHeight="1">
      <c r="C16" s="14" t="s">
        <v>272</v>
      </c>
      <c r="D16" s="14"/>
      <c r="E16" s="24">
        <f ca="1">IF(MAX(Tabla_ROI_TCO[[#This Row],[0]:[3]])&gt;0,MAX(Tabla_ROI_TCO[[#This Row],[0]:[3]]),0)</f>
        <v>0</v>
      </c>
      <c r="I16" s="2" t="s">
        <v>273</v>
      </c>
      <c r="J16" s="4" t="s">
        <v>274</v>
      </c>
      <c r="K16" s="23">
        <v>0</v>
      </c>
      <c r="L16" s="116">
        <f ca="1">L17-(ABS(K17))</f>
        <v>0</v>
      </c>
      <c r="M16" s="116">
        <f ca="1">M17-(ABS(L17))</f>
        <v>0</v>
      </c>
      <c r="N16" s="116">
        <f ca="1">N17-(ABS(M17))</f>
        <v>0</v>
      </c>
      <c r="O16" s="16"/>
      <c r="P16" s="16"/>
      <c r="Q16" s="16"/>
      <c r="R16" s="16"/>
      <c r="S16" s="16"/>
      <c r="T16" s="16"/>
      <c r="U16" s="16"/>
      <c r="V16" s="16"/>
      <c r="W16" s="16"/>
    </row>
    <row r="17" spans="3:23" ht="21.95">
      <c r="C17" s="1" t="s">
        <v>275</v>
      </c>
      <c r="D17" s="4" t="s">
        <v>276</v>
      </c>
      <c r="E17" s="3">
        <f ca="1">ROI_2_year</f>
        <v>0</v>
      </c>
      <c r="I17" s="2" t="s">
        <v>277</v>
      </c>
      <c r="J17" s="2"/>
      <c r="K17" s="118">
        <v>0</v>
      </c>
      <c r="L17" s="3">
        <f ca="1">ROI_1_year</f>
        <v>0</v>
      </c>
      <c r="M17" s="3">
        <f ca="1">ROI_2_year</f>
        <v>0</v>
      </c>
      <c r="N17" s="3">
        <f ca="1">ROI_3_year</f>
        <v>0</v>
      </c>
      <c r="O17" s="16"/>
      <c r="P17" s="16"/>
      <c r="Q17" s="16"/>
      <c r="R17" s="16"/>
      <c r="S17" s="16"/>
      <c r="T17" s="16"/>
      <c r="U17" s="16"/>
      <c r="V17" s="16"/>
      <c r="W17" s="16"/>
    </row>
    <row r="18" spans="3:23" ht="21.95">
      <c r="C18" s="1" t="s">
        <v>278</v>
      </c>
      <c r="D18" s="4" t="s">
        <v>279</v>
      </c>
      <c r="E18" s="3">
        <f ca="1">ROI_3_year</f>
        <v>0</v>
      </c>
      <c r="I18" s="16" t="s">
        <v>280</v>
      </c>
      <c r="J18" s="25" t="s">
        <v>166</v>
      </c>
      <c r="K18" s="22"/>
      <c r="L18" s="22">
        <f>total_cloud_cost_1_year</f>
        <v>0</v>
      </c>
      <c r="M18" s="22">
        <f>total_cloud_cost_2_year</f>
        <v>0</v>
      </c>
      <c r="N18" s="22">
        <f>total_cloud_cost_3_year</f>
        <v>0</v>
      </c>
      <c r="O18" s="16"/>
      <c r="P18" s="16"/>
      <c r="Q18" s="16"/>
      <c r="R18" s="16"/>
      <c r="S18" s="16"/>
      <c r="T18" s="16"/>
      <c r="U18" s="16"/>
      <c r="V18" s="16"/>
      <c r="W18" s="16"/>
    </row>
    <row r="19" spans="3:23" ht="21.95">
      <c r="C19" s="1"/>
      <c r="D19" s="2"/>
      <c r="E19" s="2"/>
      <c r="I19" s="2" t="s">
        <v>281</v>
      </c>
      <c r="J19" s="4" t="s">
        <v>282</v>
      </c>
      <c r="K19" s="117"/>
      <c r="L19" s="3">
        <f ca="1">IFERROR(initial_investment/earning_from_change_1_year,0)</f>
        <v>0</v>
      </c>
      <c r="M19" s="3">
        <f ca="1">IFERROR(initial_investment/earning_from_change_2_year,0)</f>
        <v>0</v>
      </c>
      <c r="N19" s="3">
        <f ca="1">IFERROR(initial_investment/earning_from_change_3_year,0)</f>
        <v>0</v>
      </c>
      <c r="P19" s="16"/>
      <c r="Q19" s="16"/>
      <c r="R19" s="16"/>
      <c r="S19" s="16"/>
      <c r="T19" s="16"/>
      <c r="U19" s="16"/>
      <c r="V19" s="16"/>
      <c r="W19" s="16"/>
    </row>
    <row r="20" spans="3:23" ht="21.95">
      <c r="C20" s="122" t="s">
        <v>283</v>
      </c>
      <c r="D20" s="123" t="s">
        <v>84</v>
      </c>
      <c r="E20" s="122" t="s">
        <v>284</v>
      </c>
      <c r="I20" s="2" t="s">
        <v>256</v>
      </c>
      <c r="J20" s="4" t="s">
        <v>257</v>
      </c>
      <c r="K20" s="22"/>
      <c r="L20" s="19">
        <f ca="1">total_legacy_cost_1_year-total_cloud_cost_1_year</f>
        <v>0</v>
      </c>
      <c r="M20" s="19">
        <f ca="1">total_legacy_cost_2_year-total_cloud_cost_2_year</f>
        <v>0</v>
      </c>
      <c r="N20" s="19">
        <f ca="1">total_legacy_cost_3_year-total_cloud_cost_3_year</f>
        <v>0</v>
      </c>
      <c r="O20" s="16"/>
      <c r="P20" s="16"/>
      <c r="Q20" s="16"/>
      <c r="R20" s="16"/>
      <c r="S20" s="16"/>
      <c r="T20" s="16"/>
      <c r="U20" s="16"/>
      <c r="V20" s="16"/>
      <c r="W20" s="16"/>
    </row>
    <row r="21" spans="3:23" ht="15.6">
      <c r="C21" s="1" t="s">
        <v>285</v>
      </c>
      <c r="D21" s="4" t="s">
        <v>282</v>
      </c>
      <c r="E21" s="3">
        <f ca="1">IFERROR(initial_investment/earning_from_change_2_year,0)</f>
        <v>0</v>
      </c>
      <c r="L21" s="83"/>
      <c r="O21" s="16"/>
      <c r="P21" s="16"/>
      <c r="Q21" s="16"/>
      <c r="R21" s="16"/>
      <c r="S21" s="16"/>
      <c r="T21" s="16"/>
      <c r="U21" s="16"/>
      <c r="V21" s="16"/>
      <c r="W21" s="16"/>
    </row>
    <row r="22" spans="3:23" ht="15.6">
      <c r="C22" s="14" t="s">
        <v>286</v>
      </c>
      <c r="D22" s="4" t="s">
        <v>282</v>
      </c>
      <c r="E22" s="3">
        <f ca="1">IFERROR(initial_investment/earning_from_change_3_year,0)</f>
        <v>0</v>
      </c>
      <c r="O22" s="16"/>
      <c r="P22" s="16"/>
      <c r="Q22" s="16"/>
      <c r="R22" s="16"/>
      <c r="S22" s="16"/>
      <c r="T22" s="16"/>
      <c r="U22" s="125" t="s">
        <v>287</v>
      </c>
      <c r="V22" s="16"/>
      <c r="W22" s="16"/>
    </row>
    <row r="23" spans="3:23" ht="23.1">
      <c r="C23" s="1" t="s">
        <v>288</v>
      </c>
      <c r="D23" s="4" t="s">
        <v>257</v>
      </c>
      <c r="E23" s="18">
        <f ca="1">total_legacy_cost_1_year-total_cloud_cost_1_year</f>
        <v>0</v>
      </c>
      <c r="I23" s="79" t="s">
        <v>254</v>
      </c>
      <c r="O23" s="16"/>
      <c r="P23" s="16"/>
      <c r="Q23" s="16"/>
      <c r="R23" s="16"/>
      <c r="S23" s="16"/>
      <c r="T23" s="16"/>
      <c r="U23" s="16"/>
      <c r="V23" s="16"/>
      <c r="W23" s="16"/>
    </row>
    <row r="24" spans="3:23" ht="18.600000000000001">
      <c r="C24" s="14"/>
      <c r="D24" s="16"/>
      <c r="E24" s="16"/>
      <c r="H24" s="79"/>
      <c r="O24" s="16"/>
      <c r="P24" s="16"/>
      <c r="Q24" s="16"/>
      <c r="R24" s="16"/>
      <c r="S24" s="16"/>
      <c r="T24" s="16"/>
      <c r="U24" s="16"/>
      <c r="V24" s="16"/>
      <c r="W24" s="16"/>
    </row>
    <row r="25" spans="3:23" ht="15.6">
      <c r="C25" s="14"/>
      <c r="D25" s="16"/>
      <c r="E25" s="16"/>
      <c r="O25" s="16"/>
      <c r="P25" s="16"/>
      <c r="Q25" s="16"/>
      <c r="R25" s="16"/>
      <c r="S25" s="16"/>
      <c r="T25" s="16"/>
      <c r="U25" s="16"/>
      <c r="V25" s="16"/>
      <c r="W25" s="16"/>
    </row>
    <row r="26" spans="3:23" ht="15.6">
      <c r="C26" s="14"/>
      <c r="D26" s="16"/>
      <c r="E26" s="16"/>
      <c r="O26" s="16"/>
      <c r="P26" s="16"/>
      <c r="Q26" s="16"/>
      <c r="R26" s="16"/>
      <c r="S26" s="16"/>
      <c r="T26" s="16"/>
      <c r="U26" s="16"/>
      <c r="V26" s="16"/>
      <c r="W26" s="16"/>
    </row>
    <row r="27" spans="3:23" ht="15.6">
      <c r="C27" s="14"/>
      <c r="D27" s="16"/>
      <c r="E27" s="16"/>
      <c r="O27" s="16"/>
      <c r="P27" s="16"/>
      <c r="Q27" s="16"/>
      <c r="R27" s="16"/>
      <c r="S27" s="16"/>
      <c r="T27" s="16"/>
      <c r="U27" s="16"/>
      <c r="V27" s="16"/>
      <c r="W27" s="16"/>
    </row>
    <row r="28" spans="3:23" ht="15.6">
      <c r="C28" s="14"/>
      <c r="D28" s="16"/>
      <c r="E28" s="16"/>
      <c r="O28" s="16"/>
      <c r="P28" s="16"/>
      <c r="Q28" s="16"/>
      <c r="R28" s="16"/>
      <c r="S28" s="16"/>
      <c r="T28" s="16"/>
      <c r="U28" s="16"/>
      <c r="V28" s="16"/>
      <c r="W28" s="16"/>
    </row>
    <row r="29" spans="3:23" ht="15.6">
      <c r="C29" s="14"/>
      <c r="D29" s="16"/>
      <c r="E29" s="16"/>
      <c r="O29" s="16"/>
      <c r="P29" s="16"/>
      <c r="Q29" s="16"/>
      <c r="R29" s="16"/>
      <c r="S29" s="16"/>
      <c r="T29" s="16"/>
      <c r="U29" s="16"/>
      <c r="V29" s="16"/>
      <c r="W29" s="16"/>
    </row>
    <row r="30" spans="3:23">
      <c r="C30" s="284" t="s">
        <v>289</v>
      </c>
      <c r="D30" s="284"/>
      <c r="E30" s="156" t="str">
        <f>application_name</f>
        <v xml:space="preserve">  </v>
      </c>
      <c r="F30" s="155"/>
      <c r="O30" s="16"/>
      <c r="P30" s="16"/>
      <c r="Q30" s="16"/>
      <c r="R30" s="16"/>
      <c r="S30" s="16"/>
      <c r="T30" s="16"/>
      <c r="U30" s="16"/>
      <c r="V30" s="16"/>
      <c r="W30" s="16"/>
    </row>
    <row r="31" spans="3:23" ht="15.6">
      <c r="C31" s="53"/>
      <c r="D31" s="16"/>
      <c r="E31" s="16"/>
      <c r="O31" s="16"/>
      <c r="P31" s="16"/>
      <c r="Q31" s="16"/>
      <c r="R31" s="16"/>
      <c r="S31" s="16"/>
      <c r="T31" s="16"/>
      <c r="U31" s="16"/>
      <c r="V31" s="16"/>
      <c r="W31" s="16"/>
    </row>
    <row r="32" spans="3:23" ht="15.6">
      <c r="C32" s="282" t="s">
        <v>290</v>
      </c>
      <c r="D32" s="282"/>
      <c r="E32" s="282"/>
      <c r="F32" s="282"/>
      <c r="O32" s="16"/>
      <c r="P32" s="16"/>
      <c r="Q32" s="16"/>
      <c r="R32" s="16"/>
      <c r="S32" s="16"/>
      <c r="T32" s="16"/>
      <c r="U32" s="16"/>
      <c r="V32" s="16"/>
      <c r="W32" s="16"/>
    </row>
    <row r="33" spans="3:23" ht="30.95">
      <c r="C33" s="35" t="s">
        <v>291</v>
      </c>
      <c r="D33" s="157" t="s">
        <v>84</v>
      </c>
      <c r="E33" s="35" t="s">
        <v>292</v>
      </c>
      <c r="F33" s="35" t="s">
        <v>293</v>
      </c>
      <c r="G33" s="35" t="s">
        <v>294</v>
      </c>
      <c r="O33" s="16"/>
      <c r="P33" s="16"/>
      <c r="Q33" s="16"/>
      <c r="R33" s="16"/>
      <c r="S33" s="16"/>
      <c r="T33" s="16"/>
      <c r="U33" s="16"/>
      <c r="V33" s="16"/>
      <c r="W33" s="16"/>
    </row>
    <row r="34" spans="3:23" ht="15.6">
      <c r="C34" s="20">
        <f>initial_investment</f>
        <v>0</v>
      </c>
      <c r="D34" s="21"/>
      <c r="E34" s="22">
        <f ca="1">(total_legacy_cost_1_year/12)*number_of_months_of_implementation</f>
        <v>0</v>
      </c>
      <c r="F34" s="258">
        <f>cloud_licensing_costs_1_year</f>
        <v>0</v>
      </c>
      <c r="G34" s="173">
        <f ca="1">SUM(Table_implementation_costs_summary_1[[#This Row],[Modernization Development Cost]:[Cost of change (Legacy cost while implementing cloud)]])</f>
        <v>0</v>
      </c>
      <c r="O34" s="16"/>
      <c r="P34" s="16"/>
      <c r="Q34" s="16"/>
      <c r="R34" s="16"/>
      <c r="S34" s="16"/>
      <c r="T34" s="16"/>
      <c r="U34" s="16"/>
      <c r="V34" s="16"/>
      <c r="W34" s="16"/>
    </row>
    <row r="35" spans="3:23" ht="15.6">
      <c r="C35" s="14"/>
      <c r="D35" s="21"/>
      <c r="E35" s="21"/>
      <c r="F35" s="21"/>
      <c r="O35" s="16"/>
      <c r="P35" s="16"/>
      <c r="Q35" s="16"/>
      <c r="R35" s="16"/>
      <c r="S35" s="16"/>
      <c r="T35" s="16"/>
      <c r="U35" s="16"/>
      <c r="V35" s="16"/>
      <c r="W35" s="16"/>
    </row>
    <row r="36" spans="3:23" ht="15.6">
      <c r="C36" s="283" t="s">
        <v>295</v>
      </c>
      <c r="D36" s="283"/>
      <c r="E36" s="283"/>
      <c r="O36" s="16"/>
      <c r="P36" s="16"/>
      <c r="Q36" s="16"/>
      <c r="R36" s="16"/>
      <c r="S36" s="16"/>
      <c r="T36" s="16"/>
      <c r="U36" s="16"/>
      <c r="V36" s="16"/>
      <c r="W36" s="16"/>
    </row>
    <row r="37" spans="3:23" ht="29.45" customHeight="1">
      <c r="C37" s="201" t="s">
        <v>291</v>
      </c>
      <c r="D37" s="202" t="s">
        <v>84</v>
      </c>
      <c r="E37" s="201" t="s">
        <v>292</v>
      </c>
      <c r="F37" s="203" t="s">
        <v>294</v>
      </c>
      <c r="O37" s="16"/>
      <c r="P37" s="16"/>
      <c r="Q37" s="16"/>
      <c r="R37" s="16"/>
      <c r="S37" s="16"/>
      <c r="T37" s="16"/>
      <c r="U37" s="16"/>
      <c r="V37" s="16"/>
      <c r="W37" s="16"/>
    </row>
    <row r="38" spans="3:23" ht="15.6">
      <c r="C38" s="204">
        <f>initial_investment</f>
        <v>0</v>
      </c>
      <c r="D38" s="205"/>
      <c r="E38" s="205">
        <f ca="1">(total_legacy_cost_1_year/12)*number_of_months_of_implementation</f>
        <v>0</v>
      </c>
      <c r="F38" s="206">
        <f ca="1">SUM(C38:E38)</f>
        <v>0</v>
      </c>
      <c r="O38" s="16"/>
      <c r="P38" s="16"/>
      <c r="Q38" s="16"/>
      <c r="R38" s="16"/>
      <c r="S38" s="16"/>
      <c r="T38" s="16"/>
      <c r="U38" s="16"/>
      <c r="V38" s="16"/>
      <c r="W38" s="16"/>
    </row>
    <row r="39" spans="3:23" ht="15.6">
      <c r="C39" s="14"/>
      <c r="D39" s="14"/>
      <c r="E39" s="14"/>
      <c r="O39" s="16"/>
      <c r="P39" s="16"/>
      <c r="Q39" s="16"/>
      <c r="R39" s="16"/>
      <c r="S39" s="16"/>
      <c r="T39" s="16"/>
      <c r="U39" s="16"/>
      <c r="V39" s="16"/>
      <c r="W39" s="16"/>
    </row>
    <row r="40" spans="3:23" ht="15.6">
      <c r="C40" s="14"/>
      <c r="D40" s="14"/>
      <c r="E40" s="14"/>
      <c r="O40" s="16"/>
      <c r="P40" s="16"/>
      <c r="Q40" s="16"/>
      <c r="R40" s="16"/>
      <c r="S40" s="16"/>
      <c r="T40" s="16"/>
      <c r="U40" s="16"/>
      <c r="V40" s="16"/>
      <c r="W40" s="16"/>
    </row>
    <row r="41" spans="3:23">
      <c r="C41" s="14"/>
      <c r="D41" s="14"/>
      <c r="E41" s="14"/>
      <c r="F41" s="155"/>
      <c r="O41" s="16"/>
      <c r="P41" s="16"/>
      <c r="Q41" s="16"/>
      <c r="R41" s="16"/>
      <c r="S41" s="16"/>
      <c r="T41" s="16"/>
      <c r="U41" s="16"/>
      <c r="V41" s="16"/>
      <c r="W41" s="16"/>
    </row>
    <row r="42" spans="3:23">
      <c r="F42" s="73"/>
      <c r="O42" s="16"/>
      <c r="P42" s="16"/>
      <c r="Q42" s="16"/>
      <c r="R42" s="16"/>
      <c r="S42" s="16"/>
      <c r="T42" s="16"/>
      <c r="U42" s="16"/>
      <c r="V42" s="16"/>
      <c r="W42" s="16"/>
    </row>
    <row r="43" spans="3:23">
      <c r="O43" s="16"/>
      <c r="P43" s="16"/>
      <c r="Q43" s="16"/>
      <c r="R43" s="16"/>
      <c r="S43" s="16"/>
      <c r="T43" s="16"/>
      <c r="U43" s="16"/>
      <c r="V43" s="16"/>
    </row>
    <row r="44" spans="3:23" ht="18.600000000000001" customHeight="1">
      <c r="O44" s="16"/>
      <c r="P44" s="16"/>
      <c r="Q44" s="16"/>
      <c r="R44" s="16"/>
      <c r="S44" s="16"/>
      <c r="T44" s="16"/>
      <c r="U44" s="16"/>
      <c r="V44" s="16"/>
    </row>
    <row r="45" spans="3:23">
      <c r="F45" s="73"/>
      <c r="O45" s="16"/>
      <c r="P45" s="16"/>
      <c r="Q45" s="16"/>
      <c r="R45" s="16"/>
      <c r="S45" s="16"/>
      <c r="T45" s="16"/>
      <c r="U45" s="16"/>
      <c r="V45" s="16"/>
      <c r="W45" s="16"/>
    </row>
    <row r="46" spans="3:23">
      <c r="O46" s="16"/>
      <c r="P46" s="16"/>
      <c r="Q46" s="16"/>
      <c r="R46" s="16"/>
      <c r="S46" s="16"/>
      <c r="T46" s="16"/>
      <c r="U46" s="16"/>
      <c r="V46" s="16"/>
      <c r="W46" s="16"/>
    </row>
    <row r="47" spans="3:23">
      <c r="O47" s="16"/>
      <c r="P47" s="16"/>
      <c r="Q47" s="16"/>
      <c r="R47" s="16"/>
      <c r="S47" s="16"/>
      <c r="T47" s="16"/>
      <c r="U47" s="16"/>
      <c r="V47" s="16"/>
      <c r="W47" s="16"/>
    </row>
    <row r="48" spans="3:23">
      <c r="O48" s="16"/>
      <c r="P48" s="16"/>
      <c r="Q48" s="16"/>
      <c r="R48" s="16"/>
      <c r="S48" s="16"/>
      <c r="T48" s="16"/>
      <c r="U48" s="16"/>
      <c r="V48" s="16"/>
      <c r="W48" s="16"/>
    </row>
    <row r="49" spans="15:23" ht="14.45" customHeight="1">
      <c r="O49" s="16"/>
      <c r="P49" s="16"/>
      <c r="Q49" s="16"/>
      <c r="R49" s="16"/>
      <c r="S49" s="16"/>
      <c r="T49" s="16"/>
      <c r="U49" s="16"/>
      <c r="V49" s="16"/>
      <c r="W49" s="16"/>
    </row>
    <row r="50" spans="15:23">
      <c r="O50" s="16"/>
      <c r="P50" s="16"/>
      <c r="Q50" s="16"/>
      <c r="R50" s="16"/>
      <c r="S50" s="16"/>
      <c r="T50" s="16"/>
      <c r="U50" s="16"/>
      <c r="V50" s="16"/>
      <c r="W50" s="16"/>
    </row>
    <row r="51" spans="15:23">
      <c r="O51" s="16"/>
      <c r="P51" s="16"/>
      <c r="Q51" s="16"/>
      <c r="R51" s="16"/>
      <c r="S51" s="16"/>
      <c r="T51" s="16"/>
      <c r="U51" s="16"/>
      <c r="V51" s="16"/>
      <c r="W51" s="16"/>
    </row>
    <row r="52" spans="15:23">
      <c r="O52" s="16"/>
      <c r="P52" s="16"/>
      <c r="Q52" s="16"/>
      <c r="R52" s="16"/>
      <c r="S52" s="16"/>
      <c r="T52" s="16"/>
      <c r="U52" s="16"/>
      <c r="V52" s="16"/>
      <c r="W52" s="16"/>
    </row>
    <row r="53" spans="15:23">
      <c r="O53" s="16"/>
      <c r="P53" s="16"/>
      <c r="Q53" s="16"/>
      <c r="R53" s="16"/>
      <c r="S53" s="16"/>
      <c r="T53" s="16"/>
      <c r="U53" s="16"/>
      <c r="V53" s="16"/>
      <c r="W53" s="16"/>
    </row>
    <row r="54" spans="15:23">
      <c r="O54" s="16"/>
      <c r="P54" s="16"/>
      <c r="Q54" s="16"/>
      <c r="R54" s="16"/>
      <c r="S54" s="16"/>
      <c r="T54" s="16"/>
      <c r="U54" s="16"/>
      <c r="V54" s="16"/>
      <c r="W54" s="16"/>
    </row>
    <row r="55" spans="15:23">
      <c r="O55" s="16"/>
      <c r="P55" s="16"/>
      <c r="Q55" s="16"/>
      <c r="R55" s="16"/>
      <c r="S55" s="16"/>
      <c r="T55" s="16"/>
      <c r="U55" s="16"/>
      <c r="V55" s="16"/>
      <c r="W55" s="16"/>
    </row>
    <row r="56" spans="15:23">
      <c r="O56" s="16"/>
      <c r="P56" s="16"/>
      <c r="Q56" s="16"/>
      <c r="R56" s="16"/>
      <c r="S56" s="16"/>
      <c r="T56" s="16"/>
      <c r="U56" s="16"/>
      <c r="V56" s="16"/>
      <c r="W56" s="16"/>
    </row>
    <row r="57" spans="15:23" ht="26.45" customHeight="1">
      <c r="O57" s="16"/>
      <c r="P57" s="16"/>
      <c r="Q57" s="16"/>
      <c r="R57" s="16"/>
      <c r="S57" s="16"/>
      <c r="T57" s="16"/>
      <c r="U57" s="16"/>
      <c r="V57" s="16"/>
      <c r="W57" s="16"/>
    </row>
    <row r="58" spans="15:23" ht="15" hidden="1" customHeight="1"/>
    <row r="73" ht="15" hidden="1" customHeight="1"/>
    <row r="1048562" spans="3:5" ht="18.600000000000001" customHeight="1"/>
    <row r="1048563" spans="3:5" ht="17.100000000000001" customHeight="1"/>
    <row r="1048564" spans="3:5" ht="14.45" customHeight="1"/>
    <row r="1048565" spans="3:5" ht="15.6" customHeight="1"/>
    <row r="1048566" spans="3:5" ht="19.5" customHeight="1"/>
    <row r="1048567" spans="3:5"/>
    <row r="1048568" spans="3:5" ht="15.6" customHeight="1"/>
    <row r="1048569" spans="3:5" ht="15.95" customHeight="1"/>
    <row r="1048570" spans="3:5" ht="17.100000000000001" customHeight="1"/>
    <row r="1048571" spans="3:5" ht="15" customHeight="1"/>
    <row r="1048572" spans="3:5" ht="15" customHeight="1">
      <c r="C1048572" s="16"/>
      <c r="D1048572" s="71"/>
      <c r="E1048572" s="16"/>
    </row>
    <row r="1048573" spans="3:5" ht="14.45" customHeight="1">
      <c r="C1048573" s="16"/>
      <c r="D1048573" s="71"/>
      <c r="E1048573" s="16"/>
    </row>
    <row r="1048574" spans="3:5" ht="13.5" customHeight="1">
      <c r="C1048574" s="16"/>
      <c r="D1048574" s="71"/>
      <c r="E1048574" s="16"/>
    </row>
    <row r="1048575" spans="3:5" ht="15.6">
      <c r="C1048575" s="16"/>
      <c r="D1048575" s="71"/>
      <c r="E1048575" s="16"/>
    </row>
    <row r="1048576" spans="3:5" ht="15.6">
      <c r="C1048576" s="16"/>
      <c r="D1048576" s="71"/>
      <c r="E1048576" s="16"/>
    </row>
  </sheetData>
  <mergeCells count="5">
    <mergeCell ref="C32:F32"/>
    <mergeCell ref="C36:E36"/>
    <mergeCell ref="C30:D30"/>
    <mergeCell ref="C4:G4"/>
    <mergeCell ref="C3:G3"/>
  </mergeCell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FA0D-064A-4288-BDEB-834E15F78939}">
  <sheetPr codeName="Sheet11"/>
  <dimension ref="A4:EA20"/>
  <sheetViews>
    <sheetView zoomScaleNormal="100" workbookViewId="0">
      <selection activeCell="H19" sqref="H19"/>
    </sheetView>
  </sheetViews>
  <sheetFormatPr defaultColWidth="0" defaultRowHeight="14.45"/>
  <cols>
    <col min="1" max="1" width="4.42578125" style="13" customWidth="1"/>
    <col min="2" max="2" width="4.140625" style="13" customWidth="1"/>
    <col min="3" max="3" width="13.85546875" style="13" customWidth="1"/>
    <col min="4" max="9" width="18.7109375" style="13" customWidth="1"/>
    <col min="10" max="10" width="19.28515625" style="13" customWidth="1"/>
    <col min="11" max="18" width="17.85546875" style="13" customWidth="1"/>
    <col min="19" max="19" width="17.85546875" style="13" bestFit="1" customWidth="1"/>
    <col min="20" max="20" width="14.140625" style="13" bestFit="1" customWidth="1"/>
    <col min="21" max="22" width="14.140625" style="13" customWidth="1"/>
    <col min="23" max="23" width="18.42578125" style="13" customWidth="1"/>
    <col min="24" max="24" width="17.85546875" style="13" customWidth="1"/>
    <col min="25" max="25" width="14.140625" style="13" customWidth="1"/>
    <col min="26" max="26" width="18.140625" style="13" customWidth="1"/>
    <col min="27" max="27" width="18.5703125" style="13" customWidth="1"/>
    <col min="28" max="29" width="13.7109375" style="13" customWidth="1"/>
    <col min="30" max="30" width="19.5703125" style="13" customWidth="1"/>
    <col min="31" max="32" width="13.7109375" style="13" customWidth="1"/>
    <col min="33" max="33" width="13.85546875" style="13" customWidth="1"/>
    <col min="34" max="34" width="14.7109375" style="13" customWidth="1"/>
    <col min="35" max="35" width="11.5703125" style="13" customWidth="1"/>
    <col min="36" max="36" width="11.7109375" style="13" customWidth="1"/>
    <col min="37" max="37" width="12.7109375" style="13" customWidth="1"/>
    <col min="38" max="41" width="18.85546875" style="13" customWidth="1"/>
    <col min="42" max="42" width="19.42578125" style="13" customWidth="1"/>
    <col min="43" max="43" width="16.140625" style="13" bestFit="1" customWidth="1"/>
    <col min="44" max="44" width="17.140625" style="13" customWidth="1"/>
    <col min="45" max="45" width="15.85546875" style="13" customWidth="1"/>
    <col min="46" max="46" width="17.85546875" style="13" bestFit="1" customWidth="1"/>
    <col min="47" max="56" width="17.85546875" style="13" customWidth="1"/>
    <col min="57" max="57" width="17.85546875" style="13" bestFit="1" customWidth="1"/>
    <col min="58" max="58" width="17.85546875" style="13" customWidth="1"/>
    <col min="59" max="59" width="18.5703125" style="13" customWidth="1"/>
    <col min="60" max="61" width="14.140625" style="13" customWidth="1"/>
    <col min="62" max="62" width="20.28515625" style="13" customWidth="1"/>
    <col min="63" max="64" width="14.140625" style="13" customWidth="1"/>
    <col min="65" max="65" width="17.5703125" style="13" customWidth="1"/>
    <col min="66" max="66" width="14.5703125" style="13" customWidth="1"/>
    <col min="67" max="67" width="14.85546875" style="13" customWidth="1"/>
    <col min="68" max="68" width="14.140625" style="13" customWidth="1"/>
    <col min="69" max="69" width="14.85546875" style="13" customWidth="1"/>
    <col min="70" max="73" width="19.5703125" style="13" customWidth="1"/>
    <col min="74" max="74" width="20.42578125" style="13" customWidth="1"/>
    <col min="75" max="75" width="16.140625" style="13" bestFit="1" customWidth="1"/>
    <col min="76" max="76" width="17.140625" style="13" customWidth="1"/>
    <col min="77" max="77" width="14.42578125" style="13" customWidth="1"/>
    <col min="78" max="78" width="17.85546875" style="13" bestFit="1" customWidth="1"/>
    <col min="79" max="88" width="17.85546875" style="13" customWidth="1"/>
    <col min="89" max="89" width="17.85546875" style="13" bestFit="1" customWidth="1"/>
    <col min="90" max="90" width="16.85546875" style="13" customWidth="1"/>
    <col min="91" max="91" width="18.28515625" style="13" customWidth="1"/>
    <col min="92" max="93" width="14.140625" style="13" customWidth="1"/>
    <col min="94" max="94" width="19.28515625" style="13" customWidth="1"/>
    <col min="95" max="96" width="14.140625" style="13" customWidth="1"/>
    <col min="97" max="97" width="12" style="13" customWidth="1"/>
    <col min="98" max="98" width="13.42578125" style="13" customWidth="1"/>
    <col min="99" max="99" width="14.5703125" style="13" customWidth="1"/>
    <col min="100" max="100" width="14.140625" style="13" customWidth="1"/>
    <col min="101" max="101" width="12.140625" style="13" customWidth="1"/>
    <col min="102" max="102" width="19.28515625" style="13" customWidth="1"/>
    <col min="103" max="103" width="17.5703125" style="13" customWidth="1"/>
    <col min="104" max="104" width="21" style="13" customWidth="1"/>
    <col min="105" max="105" width="13.5703125" style="13" customWidth="1"/>
    <col min="106" max="110" width="8.7109375" style="13" customWidth="1"/>
    <col min="111" max="131" width="0" hidden="1" customWidth="1"/>
    <col min="132" max="16384" width="8.7109375" hidden="1"/>
  </cols>
  <sheetData>
    <row r="4" spans="1:110" ht="23.45" customHeight="1">
      <c r="B4" s="279" t="s">
        <v>0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79"/>
      <c r="AE4" s="279"/>
      <c r="AF4" s="279"/>
      <c r="AG4" s="279"/>
      <c r="AH4" s="279"/>
      <c r="AI4" s="279"/>
      <c r="AJ4" s="279"/>
      <c r="AK4" s="279"/>
      <c r="AL4" s="279"/>
      <c r="AM4" s="279"/>
      <c r="AN4" s="279"/>
      <c r="AO4" s="279"/>
      <c r="AP4" s="279"/>
      <c r="AQ4" s="279"/>
      <c r="AR4" s="279"/>
    </row>
    <row r="5" spans="1:110" ht="23.45" customHeight="1">
      <c r="B5" s="279" t="s">
        <v>296</v>
      </c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79"/>
      <c r="Z5" s="279"/>
      <c r="AA5" s="279"/>
      <c r="AB5" s="279"/>
      <c r="AC5" s="279"/>
      <c r="AD5" s="279"/>
      <c r="AE5" s="279"/>
      <c r="AF5" s="279"/>
      <c r="AG5" s="279"/>
      <c r="AH5" s="279"/>
      <c r="AI5" s="279"/>
      <c r="AJ5" s="279"/>
      <c r="AK5" s="279"/>
      <c r="AL5" s="279"/>
      <c r="AM5" s="279"/>
      <c r="AN5" s="279"/>
      <c r="AO5" s="279"/>
      <c r="AP5" s="279"/>
      <c r="AQ5" s="279"/>
      <c r="AR5" s="279"/>
    </row>
    <row r="6" spans="1:110" ht="23.45" customHeight="1">
      <c r="B6" s="154"/>
      <c r="C6" s="230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24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154"/>
      <c r="AV6" s="154"/>
      <c r="AW6" s="154"/>
      <c r="AX6" s="154"/>
      <c r="AY6" s="154"/>
      <c r="AZ6" s="154"/>
      <c r="BA6" s="154"/>
      <c r="BB6" s="154"/>
      <c r="BC6" s="154"/>
      <c r="BD6" s="154"/>
    </row>
    <row r="8" spans="1:110">
      <c r="B8" s="285"/>
      <c r="C8" s="285"/>
      <c r="D8" s="285"/>
      <c r="E8" s="285"/>
      <c r="F8" s="235"/>
      <c r="G8" s="235"/>
      <c r="H8" s="235"/>
      <c r="I8" s="235"/>
    </row>
    <row r="10" spans="1:110">
      <c r="C10" s="286" t="s">
        <v>297</v>
      </c>
      <c r="D10" s="286"/>
      <c r="E10" s="286"/>
      <c r="F10" s="286"/>
      <c r="G10" s="286"/>
      <c r="H10" s="259"/>
      <c r="I10" s="259"/>
      <c r="J10" s="292" t="s">
        <v>298</v>
      </c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3"/>
      <c r="AP10" s="289" t="s">
        <v>109</v>
      </c>
      <c r="AQ10" s="290"/>
      <c r="AR10" s="290"/>
      <c r="AS10" s="290"/>
      <c r="AT10" s="290"/>
      <c r="AU10" s="290"/>
      <c r="AV10" s="290"/>
      <c r="AW10" s="290"/>
      <c r="AX10" s="290"/>
      <c r="AY10" s="290"/>
      <c r="AZ10" s="290"/>
      <c r="BA10" s="290"/>
      <c r="BB10" s="290"/>
      <c r="BC10" s="290"/>
      <c r="BD10" s="290"/>
      <c r="BE10" s="290"/>
      <c r="BF10" s="290"/>
      <c r="BG10" s="290"/>
      <c r="BH10" s="290"/>
      <c r="BI10" s="290"/>
      <c r="BJ10" s="290"/>
      <c r="BK10" s="290"/>
      <c r="BL10" s="290"/>
      <c r="BM10" s="290"/>
      <c r="BN10" s="290"/>
      <c r="BO10" s="290"/>
      <c r="BP10" s="290"/>
      <c r="BQ10" s="290"/>
      <c r="BR10" s="290"/>
      <c r="BS10" s="290"/>
      <c r="BT10" s="290"/>
      <c r="BU10" s="291"/>
      <c r="BV10" s="287" t="s">
        <v>299</v>
      </c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  <c r="CQ10" s="288"/>
      <c r="CR10" s="288"/>
      <c r="CS10" s="288"/>
      <c r="CT10" s="288"/>
      <c r="CU10" s="288"/>
      <c r="CV10" s="288"/>
      <c r="CW10" s="288"/>
      <c r="CX10" s="288"/>
      <c r="CY10" s="288"/>
      <c r="CZ10" s="288"/>
      <c r="DA10" s="288"/>
    </row>
    <row r="11" spans="1:110" s="233" customFormat="1" ht="37.5" customHeight="1">
      <c r="A11" s="231"/>
      <c r="B11" s="231"/>
      <c r="C11" s="232" t="s">
        <v>300</v>
      </c>
      <c r="D11" s="232" t="s">
        <v>301</v>
      </c>
      <c r="E11" s="232" t="s">
        <v>302</v>
      </c>
      <c r="F11" s="232" t="s">
        <v>303</v>
      </c>
      <c r="G11" s="232" t="s">
        <v>261</v>
      </c>
      <c r="H11" s="232" t="s">
        <v>291</v>
      </c>
      <c r="I11" s="232" t="s">
        <v>292</v>
      </c>
      <c r="J11" s="232" t="s">
        <v>304</v>
      </c>
      <c r="K11" s="232" t="s">
        <v>305</v>
      </c>
      <c r="L11" s="232" t="s">
        <v>306</v>
      </c>
      <c r="M11" s="232" t="s">
        <v>307</v>
      </c>
      <c r="N11" s="232" t="s">
        <v>308</v>
      </c>
      <c r="O11" s="232" t="s">
        <v>309</v>
      </c>
      <c r="P11" s="232" t="s">
        <v>310</v>
      </c>
      <c r="Q11" s="232" t="s">
        <v>311</v>
      </c>
      <c r="R11" s="232" t="s">
        <v>312</v>
      </c>
      <c r="S11" s="232" t="s">
        <v>313</v>
      </c>
      <c r="T11" s="232" t="s">
        <v>314</v>
      </c>
      <c r="U11" s="232" t="s">
        <v>315</v>
      </c>
      <c r="V11" s="232" t="s">
        <v>316</v>
      </c>
      <c r="W11" s="232" t="s">
        <v>317</v>
      </c>
      <c r="X11" s="232" t="s">
        <v>318</v>
      </c>
      <c r="Y11" s="232" t="s">
        <v>319</v>
      </c>
      <c r="Z11" s="232" t="s">
        <v>320</v>
      </c>
      <c r="AA11" s="232" t="s">
        <v>321</v>
      </c>
      <c r="AB11" s="232" t="s">
        <v>322</v>
      </c>
      <c r="AC11" s="232" t="s">
        <v>323</v>
      </c>
      <c r="AD11" s="232" t="s">
        <v>324</v>
      </c>
      <c r="AE11" s="232" t="s">
        <v>325</v>
      </c>
      <c r="AF11" s="232" t="s">
        <v>326</v>
      </c>
      <c r="AG11" s="232" t="s">
        <v>181</v>
      </c>
      <c r="AH11" s="232" t="s">
        <v>185</v>
      </c>
      <c r="AI11" s="232" t="s">
        <v>198</v>
      </c>
      <c r="AJ11" s="232" t="s">
        <v>327</v>
      </c>
      <c r="AK11" s="232" t="s">
        <v>190</v>
      </c>
      <c r="AL11" s="232" t="s">
        <v>207</v>
      </c>
      <c r="AM11" s="232" t="s">
        <v>328</v>
      </c>
      <c r="AN11" s="232" t="s">
        <v>208</v>
      </c>
      <c r="AO11" s="232" t="s">
        <v>329</v>
      </c>
      <c r="AP11" s="232" t="s">
        <v>304</v>
      </c>
      <c r="AQ11" s="232" t="s">
        <v>305</v>
      </c>
      <c r="AR11" s="232" t="s">
        <v>306</v>
      </c>
      <c r="AS11" s="232" t="s">
        <v>307</v>
      </c>
      <c r="AT11" s="232" t="s">
        <v>308</v>
      </c>
      <c r="AU11" s="232" t="s">
        <v>309</v>
      </c>
      <c r="AV11" s="232" t="s">
        <v>310</v>
      </c>
      <c r="AW11" s="232" t="s">
        <v>311</v>
      </c>
      <c r="AX11" s="232" t="s">
        <v>312</v>
      </c>
      <c r="AY11" s="232" t="s">
        <v>313</v>
      </c>
      <c r="AZ11" s="232" t="s">
        <v>314</v>
      </c>
      <c r="BA11" s="232" t="s">
        <v>315</v>
      </c>
      <c r="BB11" s="232" t="s">
        <v>316</v>
      </c>
      <c r="BC11" s="232" t="s">
        <v>317</v>
      </c>
      <c r="BD11" s="232" t="s">
        <v>318</v>
      </c>
      <c r="BE11" s="232" t="s">
        <v>319</v>
      </c>
      <c r="BF11" s="232" t="s">
        <v>320</v>
      </c>
      <c r="BG11" s="232" t="s">
        <v>321</v>
      </c>
      <c r="BH11" s="232" t="s">
        <v>322</v>
      </c>
      <c r="BI11" s="232" t="s">
        <v>323</v>
      </c>
      <c r="BJ11" s="232" t="s">
        <v>324</v>
      </c>
      <c r="BK11" s="232" t="s">
        <v>325</v>
      </c>
      <c r="BL11" s="232" t="s">
        <v>326</v>
      </c>
      <c r="BM11" s="232" t="s">
        <v>181</v>
      </c>
      <c r="BN11" s="232" t="s">
        <v>185</v>
      </c>
      <c r="BO11" s="232" t="s">
        <v>198</v>
      </c>
      <c r="BP11" s="232" t="s">
        <v>327</v>
      </c>
      <c r="BQ11" s="232" t="s">
        <v>190</v>
      </c>
      <c r="BR11" s="232" t="s">
        <v>207</v>
      </c>
      <c r="BS11" s="232" t="s">
        <v>328</v>
      </c>
      <c r="BT11" s="232" t="s">
        <v>208</v>
      </c>
      <c r="BU11" s="232" t="s">
        <v>329</v>
      </c>
      <c r="BV11" s="232" t="s">
        <v>304</v>
      </c>
      <c r="BW11" s="232" t="s">
        <v>305</v>
      </c>
      <c r="BX11" s="232" t="s">
        <v>306</v>
      </c>
      <c r="BY11" s="232" t="s">
        <v>307</v>
      </c>
      <c r="BZ11" s="232" t="s">
        <v>308</v>
      </c>
      <c r="CA11" s="232" t="s">
        <v>309</v>
      </c>
      <c r="CB11" s="232" t="s">
        <v>310</v>
      </c>
      <c r="CC11" s="232" t="s">
        <v>311</v>
      </c>
      <c r="CD11" s="232" t="s">
        <v>312</v>
      </c>
      <c r="CE11" s="232" t="s">
        <v>313</v>
      </c>
      <c r="CF11" s="232" t="s">
        <v>314</v>
      </c>
      <c r="CG11" s="232" t="s">
        <v>315</v>
      </c>
      <c r="CH11" s="232" t="s">
        <v>316</v>
      </c>
      <c r="CI11" s="232" t="s">
        <v>317</v>
      </c>
      <c r="CJ11" s="232" t="s">
        <v>318</v>
      </c>
      <c r="CK11" s="232" t="s">
        <v>319</v>
      </c>
      <c r="CL11" s="232" t="s">
        <v>320</v>
      </c>
      <c r="CM11" s="232" t="s">
        <v>321</v>
      </c>
      <c r="CN11" s="232" t="s">
        <v>322</v>
      </c>
      <c r="CO11" s="232" t="s">
        <v>323</v>
      </c>
      <c r="CP11" s="232" t="s">
        <v>324</v>
      </c>
      <c r="CQ11" s="232" t="s">
        <v>325</v>
      </c>
      <c r="CR11" s="232" t="s">
        <v>326</v>
      </c>
      <c r="CS11" s="232" t="s">
        <v>181</v>
      </c>
      <c r="CT11" s="232" t="s">
        <v>185</v>
      </c>
      <c r="CU11" s="232" t="s">
        <v>198</v>
      </c>
      <c r="CV11" s="232" t="s">
        <v>327</v>
      </c>
      <c r="CW11" s="232" t="s">
        <v>190</v>
      </c>
      <c r="CX11" s="232" t="s">
        <v>207</v>
      </c>
      <c r="CY11" s="232" t="s">
        <v>328</v>
      </c>
      <c r="CZ11" s="232" t="s">
        <v>208</v>
      </c>
      <c r="DA11" s="232" t="s">
        <v>329</v>
      </c>
      <c r="DB11" s="231"/>
      <c r="DC11" s="231"/>
      <c r="DD11" s="231"/>
      <c r="DE11" s="231"/>
      <c r="DF11" s="231"/>
    </row>
    <row r="12" spans="1:110">
      <c r="C12" s="229" t="str">
        <f>application_name</f>
        <v xml:space="preserve">  </v>
      </c>
      <c r="D12" s="221">
        <f>initial_investment</f>
        <v>0</v>
      </c>
      <c r="E12" s="223">
        <f>it_operational_productivity</f>
        <v>0.3</v>
      </c>
      <c r="F12" s="238">
        <f>number_of_months_of_implementation</f>
        <v>0</v>
      </c>
      <c r="G12" s="239">
        <f ca="1">payback</f>
        <v>0</v>
      </c>
      <c r="H12" s="221" cm="1">
        <f t="array" ref="H12">Modernization_Development_Cost</f>
        <v>0</v>
      </c>
      <c r="I12" s="221" cm="1">
        <f t="array" aca="1" ref="I12" ca="1">Cost_of_change_Legacy_cost_while_implementing_cloud</f>
        <v>0</v>
      </c>
      <c r="J12" s="221">
        <f>it_salary_legacy_cost_1_year</f>
        <v>0</v>
      </c>
      <c r="K12" s="221">
        <f>unexpected_legacy_cost_1_year</f>
        <v>0</v>
      </c>
      <c r="L12" s="221">
        <f>infrastructure_legacy_cost_1_year</f>
        <v>0</v>
      </c>
      <c r="M12" s="221">
        <f ca="1">licensing_legacy_cost_1_year</f>
        <v>0</v>
      </c>
      <c r="N12" s="221">
        <f ca="1">operational_legacy_cost_1_year</f>
        <v>0</v>
      </c>
      <c r="O12" s="221">
        <f>downtime_legacy_costs_1_year</f>
        <v>0</v>
      </c>
      <c r="P12" s="221">
        <f>shut_down_legacy_cost_1_year</f>
        <v>0</v>
      </c>
      <c r="Q12" s="221">
        <f>business_legacy_cost_1_year</f>
        <v>0</v>
      </c>
      <c r="R12" s="221">
        <f ca="1">total_legacy_cost_1_year</f>
        <v>0</v>
      </c>
      <c r="S12" s="221">
        <f>it_salary_cloud_cost_1_year</f>
        <v>0</v>
      </c>
      <c r="T12" s="221">
        <f>unexpected_cloud_cost_1_year</f>
        <v>0</v>
      </c>
      <c r="U12" s="221">
        <f>infrastructure_cloud_cost_1_year</f>
        <v>0</v>
      </c>
      <c r="V12" s="221">
        <f>licensing_cloud_cost_1_year</f>
        <v>0</v>
      </c>
      <c r="W12" s="221">
        <f>operational_cloud_cost_1_year</f>
        <v>0</v>
      </c>
      <c r="X12" s="221">
        <f>downtime_cloud_costs_1_year</f>
        <v>0</v>
      </c>
      <c r="Y12" s="221">
        <f>shut_down_cloud_cost_1_year</f>
        <v>0</v>
      </c>
      <c r="Z12" s="221">
        <f>business_cloud_cost_1_year</f>
        <v>0</v>
      </c>
      <c r="AA12" s="221">
        <f>total_cloud_cost_1_year</f>
        <v>0</v>
      </c>
      <c r="AB12" s="223">
        <f ca="1">TCO_reduction_1_year_percentage</f>
        <v>0</v>
      </c>
      <c r="AC12" s="222">
        <f ca="1">savings_in_operational_expenditures_1_year</f>
        <v>0</v>
      </c>
      <c r="AD12" s="221">
        <f ca="1">earning_from_change_1_year</f>
        <v>0</v>
      </c>
      <c r="AE12" s="222">
        <f ca="1">ROI_1_year</f>
        <v>0</v>
      </c>
      <c r="AF12" s="222">
        <f>productivity_1_year</f>
        <v>0</v>
      </c>
      <c r="AG12" s="223">
        <f>saving_app_shut_down_cost_percentage_1_year</f>
        <v>0</v>
      </c>
      <c r="AH12" s="223">
        <f>saving_app_slow_down_cost_percentage_1_year</f>
        <v>0</v>
      </c>
      <c r="AI12" s="223">
        <f>saving_IT_unexpected_cost_percentage_1_year</f>
        <v>0</v>
      </c>
      <c r="AJ12" s="223">
        <f>saving_IT_salary_cost_percentage_1_year</f>
        <v>0</v>
      </c>
      <c r="AK12" s="223">
        <f>saving_infrastructure_cost_percentage_1_year</f>
        <v>0</v>
      </c>
      <c r="AL12" s="221">
        <f>Saving_money_show_down_and_slow_down_1_year</f>
        <v>0</v>
      </c>
      <c r="AM12" s="221">
        <f>savings_money_improvements_productivity_1_year</f>
        <v>0</v>
      </c>
      <c r="AN12" s="221">
        <f>salary_money_in_it_operation_salary_unexpected_cost_1_year_productivity</f>
        <v>0</v>
      </c>
      <c r="AO12" s="222">
        <f ca="1">TCO_reduction_1_year_percentage</f>
        <v>0</v>
      </c>
      <c r="AP12" s="221">
        <f>it_salary_legacy_cost_2_year</f>
        <v>0</v>
      </c>
      <c r="AQ12" s="221">
        <f>unexpected_legacy_cost_2_year</f>
        <v>0</v>
      </c>
      <c r="AR12" s="221">
        <f>infrastructure_legacy_cost_2_year</f>
        <v>0</v>
      </c>
      <c r="AS12" s="221">
        <f ca="1">licensing_legacy_cost_2_year</f>
        <v>0</v>
      </c>
      <c r="AT12" s="221">
        <f ca="1">operational_legacy_cost_2_year</f>
        <v>0</v>
      </c>
      <c r="AU12" s="221">
        <f>downtime_legacy_costs_2_year</f>
        <v>0</v>
      </c>
      <c r="AV12" s="221">
        <f>shut_down_legacy_cost_2_year</f>
        <v>0</v>
      </c>
      <c r="AW12" s="221">
        <f>business_legacy_cost_2_year</f>
        <v>0</v>
      </c>
      <c r="AX12" s="221">
        <f ca="1">total_legacy_cost_2_year</f>
        <v>0</v>
      </c>
      <c r="AY12" s="221">
        <f>it_salary_cloud_cost_2_year</f>
        <v>0</v>
      </c>
      <c r="AZ12" s="221">
        <f>unexpected_cloud_cost_2_year</f>
        <v>0</v>
      </c>
      <c r="BA12" s="221">
        <f>infrastructure_cloud_cost_2_year</f>
        <v>0</v>
      </c>
      <c r="BB12" s="221">
        <f>licensing_cloud_cost_2_year</f>
        <v>0</v>
      </c>
      <c r="BC12" s="221">
        <f>operational_cloud_cost_2_year</f>
        <v>0</v>
      </c>
      <c r="BD12" s="221">
        <f>downtime_cloud_costs_2_year</f>
        <v>0</v>
      </c>
      <c r="BE12" s="221">
        <f>shut_down_cloud_cost_2_year</f>
        <v>0</v>
      </c>
      <c r="BF12" s="221">
        <f>business_cloud_cost_2_year</f>
        <v>0</v>
      </c>
      <c r="BG12" s="221">
        <f>total_cloud_cost_2_year</f>
        <v>0</v>
      </c>
      <c r="BH12" s="223">
        <f ca="1">TCO_reduction_2_year_percentage</f>
        <v>0</v>
      </c>
      <c r="BI12" s="222">
        <f ca="1">savings_in_operational_expenditures_2_year</f>
        <v>0</v>
      </c>
      <c r="BJ12" s="221">
        <f ca="1">earning_from_change_2_year</f>
        <v>0</v>
      </c>
      <c r="BK12" s="222">
        <f ca="1">ROI_2_year</f>
        <v>0</v>
      </c>
      <c r="BL12" s="222">
        <f>productivity_2_year</f>
        <v>0</v>
      </c>
      <c r="BM12" s="223">
        <f>saving_app_shut_down_cost_percentage_2_year</f>
        <v>0</v>
      </c>
      <c r="BN12" s="223">
        <f>saving_app_slow_down_cost_percentage_2_year</f>
        <v>0</v>
      </c>
      <c r="BO12" s="223">
        <f>saving_IT_unexpected_cost_percentage_2_year</f>
        <v>0</v>
      </c>
      <c r="BP12" s="223">
        <f>saving_IT_salary_cost_percentage_2_year</f>
        <v>0</v>
      </c>
      <c r="BQ12" s="223">
        <f>saving_infrastructure_cost_percentage_2_year</f>
        <v>0</v>
      </c>
      <c r="BR12" s="221">
        <f>Saving_money_show_down_and_slow_down_2_year</f>
        <v>0</v>
      </c>
      <c r="BS12" s="221">
        <f>saving_money_improvements_productivity_2_year</f>
        <v>0</v>
      </c>
      <c r="BT12" s="221">
        <f>salary_money_in_it_operation_salary_unexpected_cost_2_year_productivity</f>
        <v>0</v>
      </c>
      <c r="BU12" s="222">
        <f ca="1">TCO_reduction_2_year_percentage</f>
        <v>0</v>
      </c>
      <c r="BV12" s="221">
        <f>it_salary_legacy_cost_3_year</f>
        <v>0</v>
      </c>
      <c r="BW12" s="221">
        <f>unexpected_legacy_cost_3_year</f>
        <v>0</v>
      </c>
      <c r="BX12" s="221">
        <f>infrastructure_legacy_cost_3_year</f>
        <v>0</v>
      </c>
      <c r="BY12" s="221">
        <f ca="1">licensing_legacy_cost_3_year</f>
        <v>0</v>
      </c>
      <c r="BZ12" s="221">
        <f ca="1">operational_legacy_cost_3_year</f>
        <v>0</v>
      </c>
      <c r="CA12" s="221">
        <f>downtime_legacy_costs_3_year</f>
        <v>0</v>
      </c>
      <c r="CB12" s="221">
        <f>shut_down_legacy_cost_3_year</f>
        <v>0</v>
      </c>
      <c r="CC12" s="221">
        <f>business_legacy_cost_3_year</f>
        <v>0</v>
      </c>
      <c r="CD12" s="221">
        <f ca="1">total_legacy_cost_3_year</f>
        <v>0</v>
      </c>
      <c r="CE12" s="221">
        <f>it_salary_cloud_cost_3_year</f>
        <v>0</v>
      </c>
      <c r="CF12" s="221">
        <f>unexpected_cloud_cost_3_year</f>
        <v>0</v>
      </c>
      <c r="CG12" s="221">
        <f>infrastructure_cloud_cost_3_year</f>
        <v>0</v>
      </c>
      <c r="CH12" s="221">
        <f>licensing_cloud_cost_3_year</f>
        <v>0</v>
      </c>
      <c r="CI12" s="221">
        <f>operational_cloud_cost_3_year</f>
        <v>0</v>
      </c>
      <c r="CJ12" s="221">
        <f>downtime_cloud_costs_3_year</f>
        <v>0</v>
      </c>
      <c r="CK12" s="221">
        <f>shut_down_cloud_cost_3_year</f>
        <v>0</v>
      </c>
      <c r="CL12" s="221">
        <f>business_cloud_cost_3_year</f>
        <v>0</v>
      </c>
      <c r="CM12" s="221">
        <f>total_cloud_cost_3_year</f>
        <v>0</v>
      </c>
      <c r="CN12" s="223">
        <f ca="1">TCO_reduction_3_year_percentage</f>
        <v>0</v>
      </c>
      <c r="CO12" s="222">
        <f ca="1">savings_in_operational_expenditures_3_year</f>
        <v>0</v>
      </c>
      <c r="CP12" s="221">
        <f ca="1">earning_from_change_3_year</f>
        <v>0</v>
      </c>
      <c r="CQ12" s="222">
        <f ca="1">ROI_3_year</f>
        <v>0</v>
      </c>
      <c r="CR12" s="222">
        <f>productivity_3_year</f>
        <v>0</v>
      </c>
      <c r="CS12" s="223">
        <f>saving_app_shut_down_cost_percentage_3_year</f>
        <v>0</v>
      </c>
      <c r="CT12" s="223">
        <f>saving_app_slow_down_cost_percentage_3_year</f>
        <v>0</v>
      </c>
      <c r="CU12" s="223">
        <f>saving_IT_unexpected_cost_percentage_3_year</f>
        <v>0</v>
      </c>
      <c r="CV12" s="223">
        <f>saving_IT_salary_cost_percentage_3_year</f>
        <v>0</v>
      </c>
      <c r="CW12" s="223">
        <f>saving_infrastructure_cost_percentage_3_year</f>
        <v>0</v>
      </c>
      <c r="CX12" s="241">
        <f>Saving_money_show_down_and_slow_down_3_year</f>
        <v>0</v>
      </c>
      <c r="CY12" s="221">
        <f>savings_money_improvements_productivity_3_year</f>
        <v>0</v>
      </c>
      <c r="CZ12" s="221">
        <f>salary_money_in_it_operation_salary_unexpected_cost_3_year_productivity</f>
        <v>0</v>
      </c>
      <c r="DA12" s="260">
        <f ca="1">TCO_reduction_3_year_percentage</f>
        <v>0</v>
      </c>
    </row>
    <row r="13" spans="1:110" s="13" customFormat="1"/>
    <row r="14" spans="1:110" s="13" customFormat="1"/>
    <row r="15" spans="1:110" s="13" customFormat="1"/>
    <row r="16" spans="1:110" s="13" customFormat="1"/>
    <row r="17" s="13" customFormat="1"/>
    <row r="18" s="13" customFormat="1"/>
    <row r="19" s="13" customFormat="1"/>
    <row r="20" s="13" customFormat="1"/>
  </sheetData>
  <mergeCells count="7">
    <mergeCell ref="B4:AR4"/>
    <mergeCell ref="B5:AR5"/>
    <mergeCell ref="B8:E8"/>
    <mergeCell ref="C10:G10"/>
    <mergeCell ref="BV10:DA10"/>
    <mergeCell ref="AP10:BU10"/>
    <mergeCell ref="J10:AO10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129C-69E0-4A0A-8D75-5925D4FCE235}">
  <sheetPr codeName="Sheet12"/>
  <dimension ref="A1:CY3"/>
  <sheetViews>
    <sheetView workbookViewId="0">
      <selection activeCell="H19" sqref="H19"/>
    </sheetView>
  </sheetViews>
  <sheetFormatPr defaultRowHeight="14.45"/>
  <cols>
    <col min="1" max="1" width="13" customWidth="1"/>
    <col min="2" max="2" width="21" customWidth="1"/>
    <col min="3" max="3" width="17.140625" customWidth="1"/>
    <col min="4" max="4" width="18.140625" customWidth="1"/>
    <col min="5" max="7" width="18.28515625" customWidth="1"/>
    <col min="8" max="8" width="20" customWidth="1"/>
    <col min="9" max="9" width="21.140625" customWidth="1"/>
    <col min="10" max="10" width="18.42578125" customWidth="1"/>
    <col min="11" max="11" width="19.7109375" customWidth="1"/>
    <col min="12" max="12" width="17.85546875" customWidth="1"/>
    <col min="13" max="13" width="15.140625" bestFit="1" customWidth="1"/>
    <col min="14" max="15" width="17.85546875" bestFit="1" customWidth="1"/>
    <col min="16" max="16" width="21.140625" customWidth="1"/>
    <col min="17" max="17" width="18.42578125" customWidth="1"/>
    <col min="18" max="19" width="16.85546875" customWidth="1"/>
    <col min="20" max="20" width="16.28515625" customWidth="1"/>
    <col min="21" max="21" width="17.85546875" bestFit="1" customWidth="1"/>
    <col min="22" max="22" width="21.140625" customWidth="1"/>
    <col min="23" max="23" width="21.85546875" customWidth="1"/>
    <col min="24" max="24" width="16.42578125" customWidth="1"/>
    <col min="25" max="25" width="18.85546875" customWidth="1"/>
    <col min="26" max="26" width="18" customWidth="1"/>
    <col min="27" max="27" width="15.140625" customWidth="1"/>
    <col min="28" max="28" width="18.140625" customWidth="1"/>
    <col min="29" max="29" width="12.28515625" customWidth="1"/>
    <col min="30" max="30" width="12.5703125" customWidth="1"/>
    <col min="31" max="31" width="11.28515625" customWidth="1"/>
    <col min="32" max="32" width="17.5703125" customWidth="1"/>
    <col min="33" max="33" width="18.140625" customWidth="1"/>
    <col min="34" max="34" width="19.140625" customWidth="1"/>
    <col min="35" max="35" width="25.140625" customWidth="1"/>
    <col min="36" max="39" width="20.5703125" customWidth="1"/>
    <col min="40" max="40" width="17.7109375" customWidth="1"/>
    <col min="41" max="41" width="16.42578125" customWidth="1"/>
    <col min="42" max="42" width="13.85546875" bestFit="1" customWidth="1"/>
    <col min="43" max="44" width="17.85546875" bestFit="1" customWidth="1"/>
    <col min="45" max="45" width="21.5703125" customWidth="1"/>
    <col min="46" max="46" width="18.7109375" customWidth="1"/>
    <col min="47" max="47" width="15.140625" bestFit="1" customWidth="1"/>
    <col min="48" max="48" width="17.85546875" customWidth="1"/>
    <col min="49" max="49" width="22.140625" customWidth="1"/>
    <col min="50" max="50" width="17.85546875" bestFit="1" customWidth="1"/>
    <col min="51" max="51" width="13.5703125" customWidth="1"/>
    <col min="52" max="52" width="17.85546875" customWidth="1"/>
    <col min="53" max="53" width="16.140625" bestFit="1" customWidth="1"/>
    <col min="54" max="54" width="20.28515625" customWidth="1"/>
    <col min="55" max="55" width="15.140625" customWidth="1"/>
    <col min="56" max="56" width="15.5703125" customWidth="1"/>
    <col min="57" max="57" width="21.140625" customWidth="1"/>
    <col min="58" max="58" width="10.7109375" customWidth="1"/>
    <col min="59" max="59" width="12.42578125" customWidth="1"/>
    <col min="60" max="60" width="17.7109375" customWidth="1"/>
    <col min="61" max="61" width="17.85546875" bestFit="1" customWidth="1"/>
    <col min="62" max="62" width="14.140625" bestFit="1" customWidth="1"/>
    <col min="63" max="63" width="16.42578125" bestFit="1" customWidth="1"/>
    <col min="64" max="64" width="12.85546875" bestFit="1" customWidth="1"/>
    <col min="65" max="65" width="17.85546875" bestFit="1" customWidth="1"/>
    <col min="66" max="66" width="15.140625" bestFit="1" customWidth="1"/>
    <col min="67" max="67" width="16.42578125" bestFit="1" customWidth="1"/>
    <col min="68" max="71" width="18.85546875" customWidth="1"/>
    <col min="72" max="73" width="17.85546875" bestFit="1" customWidth="1"/>
    <col min="74" max="74" width="20.140625" customWidth="1"/>
    <col min="75" max="75" width="20.5703125" customWidth="1"/>
    <col min="76" max="76" width="18.5703125" customWidth="1"/>
    <col min="77" max="77" width="19.42578125" customWidth="1"/>
    <col min="78" max="78" width="16.42578125" bestFit="1" customWidth="1"/>
    <col min="79" max="79" width="17.85546875" bestFit="1" customWidth="1"/>
    <col min="80" max="80" width="19.140625" customWidth="1"/>
    <col min="81" max="81" width="19.7109375" customWidth="1"/>
    <col min="82" max="82" width="16.140625" bestFit="1" customWidth="1"/>
    <col min="83" max="83" width="15.5703125" customWidth="1"/>
    <col min="84" max="84" width="20.140625" customWidth="1"/>
    <col min="85" max="85" width="22.42578125" customWidth="1"/>
    <col min="86" max="86" width="13.5703125" customWidth="1"/>
    <col min="87" max="87" width="11.140625" customWidth="1"/>
    <col min="88" max="88" width="18.140625" customWidth="1"/>
    <col min="89" max="89" width="16.85546875" customWidth="1"/>
    <col min="90" max="90" width="14.42578125" customWidth="1"/>
    <col min="91" max="91" width="16" customWidth="1"/>
    <col min="92" max="92" width="16.5703125" customWidth="1"/>
    <col min="95" max="95" width="16.140625" customWidth="1"/>
    <col min="96" max="96" width="14.7109375" customWidth="1"/>
    <col min="100" max="100" width="19" customWidth="1"/>
    <col min="101" max="101" width="16.85546875" customWidth="1"/>
    <col min="102" max="102" width="20.5703125" customWidth="1"/>
    <col min="103" max="103" width="15.85546875" customWidth="1"/>
  </cols>
  <sheetData>
    <row r="1" spans="1:103">
      <c r="A1" s="286" t="s">
        <v>297</v>
      </c>
      <c r="B1" s="286"/>
      <c r="C1" s="286"/>
      <c r="D1" s="286"/>
      <c r="E1" s="286"/>
      <c r="F1" s="259"/>
      <c r="G1" s="259"/>
      <c r="H1" s="292" t="s">
        <v>330</v>
      </c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292"/>
      <c r="AF1" s="292"/>
      <c r="AG1" s="292"/>
      <c r="AH1" s="292"/>
      <c r="AI1" s="292"/>
      <c r="AJ1" s="292"/>
      <c r="AK1" s="292"/>
      <c r="AL1" s="292"/>
      <c r="AM1" s="293"/>
      <c r="AN1" s="289" t="s">
        <v>109</v>
      </c>
      <c r="AO1" s="290"/>
      <c r="AP1" s="290"/>
      <c r="AQ1" s="290"/>
      <c r="AR1" s="290"/>
      <c r="AS1" s="290"/>
      <c r="AT1" s="290"/>
      <c r="AU1" s="290"/>
      <c r="AV1" s="290"/>
      <c r="AW1" s="290"/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1"/>
      <c r="BT1" s="294" t="s">
        <v>299</v>
      </c>
      <c r="BU1" s="295"/>
      <c r="BV1" s="295"/>
      <c r="BW1" s="295"/>
      <c r="BX1" s="295"/>
      <c r="BY1" s="295"/>
      <c r="BZ1" s="295"/>
      <c r="CA1" s="295"/>
      <c r="CB1" s="295"/>
      <c r="CC1" s="295"/>
      <c r="CD1" s="295"/>
      <c r="CE1" s="295"/>
      <c r="CF1" s="295"/>
      <c r="CG1" s="295"/>
      <c r="CH1" s="295"/>
      <c r="CI1" s="295"/>
      <c r="CJ1" s="295"/>
      <c r="CK1" s="295"/>
      <c r="CL1" s="295"/>
      <c r="CM1" s="295"/>
      <c r="CN1" s="295"/>
      <c r="CO1" s="295"/>
      <c r="CP1" s="295"/>
      <c r="CQ1" s="295"/>
      <c r="CR1" s="295"/>
      <c r="CS1" s="295"/>
      <c r="CT1" s="295"/>
      <c r="CU1" s="295"/>
      <c r="CV1" s="295"/>
      <c r="CW1" s="295"/>
      <c r="CX1" s="295"/>
      <c r="CY1" s="295"/>
    </row>
    <row r="2" spans="1:103" ht="41.45" customHeight="1">
      <c r="A2" s="232" t="s">
        <v>300</v>
      </c>
      <c r="B2" s="232" t="s">
        <v>301</v>
      </c>
      <c r="C2" s="232" t="s">
        <v>302</v>
      </c>
      <c r="D2" s="232" t="s">
        <v>303</v>
      </c>
      <c r="E2" s="232" t="s">
        <v>261</v>
      </c>
      <c r="F2" s="232" t="s">
        <v>291</v>
      </c>
      <c r="G2" s="232" t="s">
        <v>292</v>
      </c>
      <c r="H2" s="232" t="s">
        <v>304</v>
      </c>
      <c r="I2" s="232" t="s">
        <v>305</v>
      </c>
      <c r="J2" s="232" t="s">
        <v>306</v>
      </c>
      <c r="K2" s="232" t="s">
        <v>307</v>
      </c>
      <c r="L2" s="232" t="s">
        <v>308</v>
      </c>
      <c r="M2" s="232" t="s">
        <v>309</v>
      </c>
      <c r="N2" s="232" t="s">
        <v>310</v>
      </c>
      <c r="O2" s="232" t="s">
        <v>311</v>
      </c>
      <c r="P2" s="232" t="s">
        <v>312</v>
      </c>
      <c r="Q2" s="232" t="s">
        <v>313</v>
      </c>
      <c r="R2" s="232" t="s">
        <v>314</v>
      </c>
      <c r="S2" s="232" t="s">
        <v>315</v>
      </c>
      <c r="T2" s="232" t="s">
        <v>316</v>
      </c>
      <c r="U2" s="232" t="s">
        <v>317</v>
      </c>
      <c r="V2" s="232" t="s">
        <v>318</v>
      </c>
      <c r="W2" s="232" t="s">
        <v>319</v>
      </c>
      <c r="X2" s="232" t="s">
        <v>320</v>
      </c>
      <c r="Y2" s="232" t="s">
        <v>321</v>
      </c>
      <c r="Z2" s="232" t="s">
        <v>322</v>
      </c>
      <c r="AA2" s="232" t="s">
        <v>323</v>
      </c>
      <c r="AB2" s="232" t="s">
        <v>324</v>
      </c>
      <c r="AC2" s="232" t="s">
        <v>325</v>
      </c>
      <c r="AD2" s="232" t="s">
        <v>326</v>
      </c>
      <c r="AE2" s="232" t="s">
        <v>181</v>
      </c>
      <c r="AF2" s="232" t="s">
        <v>185</v>
      </c>
      <c r="AG2" s="232" t="s">
        <v>198</v>
      </c>
      <c r="AH2" s="232" t="s">
        <v>327</v>
      </c>
      <c r="AI2" s="232" t="s">
        <v>190</v>
      </c>
      <c r="AJ2" s="232" t="s">
        <v>207</v>
      </c>
      <c r="AK2" s="232" t="s">
        <v>328</v>
      </c>
      <c r="AL2" s="232" t="s">
        <v>208</v>
      </c>
      <c r="AM2" s="232" t="s">
        <v>329</v>
      </c>
      <c r="AN2" s="232" t="s">
        <v>304</v>
      </c>
      <c r="AO2" s="232" t="s">
        <v>305</v>
      </c>
      <c r="AP2" s="232" t="s">
        <v>306</v>
      </c>
      <c r="AQ2" s="232" t="s">
        <v>307</v>
      </c>
      <c r="AR2" s="232" t="s">
        <v>308</v>
      </c>
      <c r="AS2" s="232" t="s">
        <v>309</v>
      </c>
      <c r="AT2" s="232" t="s">
        <v>310</v>
      </c>
      <c r="AU2" s="232" t="s">
        <v>311</v>
      </c>
      <c r="AV2" s="232" t="s">
        <v>312</v>
      </c>
      <c r="AW2" s="232" t="s">
        <v>313</v>
      </c>
      <c r="AX2" s="232" t="s">
        <v>314</v>
      </c>
      <c r="AY2" s="232" t="s">
        <v>315</v>
      </c>
      <c r="AZ2" s="232" t="s">
        <v>316</v>
      </c>
      <c r="BA2" s="232" t="s">
        <v>317</v>
      </c>
      <c r="BB2" s="232" t="s">
        <v>318</v>
      </c>
      <c r="BC2" s="232" t="s">
        <v>319</v>
      </c>
      <c r="BD2" s="232" t="s">
        <v>320</v>
      </c>
      <c r="BE2" s="232" t="s">
        <v>321</v>
      </c>
      <c r="BF2" s="232" t="s">
        <v>322</v>
      </c>
      <c r="BG2" s="232" t="s">
        <v>323</v>
      </c>
      <c r="BH2" s="232" t="s">
        <v>324</v>
      </c>
      <c r="BI2" s="232" t="s">
        <v>325</v>
      </c>
      <c r="BJ2" s="232" t="s">
        <v>326</v>
      </c>
      <c r="BK2" s="232" t="s">
        <v>181</v>
      </c>
      <c r="BL2" s="232" t="s">
        <v>185</v>
      </c>
      <c r="BM2" s="232" t="s">
        <v>198</v>
      </c>
      <c r="BN2" s="232" t="s">
        <v>327</v>
      </c>
      <c r="BO2" s="232" t="s">
        <v>190</v>
      </c>
      <c r="BP2" s="232" t="s">
        <v>207</v>
      </c>
      <c r="BQ2" s="232" t="s">
        <v>328</v>
      </c>
      <c r="BR2" s="232" t="s">
        <v>208</v>
      </c>
      <c r="BS2" s="232" t="s">
        <v>329</v>
      </c>
      <c r="BT2" s="232" t="s">
        <v>304</v>
      </c>
      <c r="BU2" s="232" t="s">
        <v>305</v>
      </c>
      <c r="BV2" s="232" t="s">
        <v>306</v>
      </c>
      <c r="BW2" s="232" t="s">
        <v>307</v>
      </c>
      <c r="BX2" s="232" t="s">
        <v>308</v>
      </c>
      <c r="BY2" s="232" t="s">
        <v>309</v>
      </c>
      <c r="BZ2" s="232" t="s">
        <v>310</v>
      </c>
      <c r="CA2" s="232" t="s">
        <v>311</v>
      </c>
      <c r="CB2" s="232" t="s">
        <v>312</v>
      </c>
      <c r="CC2" s="232" t="s">
        <v>313</v>
      </c>
      <c r="CD2" s="232" t="s">
        <v>314</v>
      </c>
      <c r="CE2" s="232" t="s">
        <v>315</v>
      </c>
      <c r="CF2" s="232" t="s">
        <v>316</v>
      </c>
      <c r="CG2" s="232" t="s">
        <v>317</v>
      </c>
      <c r="CH2" s="232" t="s">
        <v>318</v>
      </c>
      <c r="CI2" s="232" t="s">
        <v>319</v>
      </c>
      <c r="CJ2" s="232" t="s">
        <v>320</v>
      </c>
      <c r="CK2" s="232" t="s">
        <v>321</v>
      </c>
      <c r="CL2" s="232" t="s">
        <v>322</v>
      </c>
      <c r="CM2" s="232" t="s">
        <v>323</v>
      </c>
      <c r="CN2" s="232" t="s">
        <v>324</v>
      </c>
      <c r="CO2" s="232" t="s">
        <v>325</v>
      </c>
      <c r="CP2" s="232" t="s">
        <v>326</v>
      </c>
      <c r="CQ2" s="232" t="s">
        <v>181</v>
      </c>
      <c r="CR2" s="232" t="s">
        <v>185</v>
      </c>
      <c r="CS2" s="232" t="s">
        <v>198</v>
      </c>
      <c r="CT2" s="232" t="s">
        <v>327</v>
      </c>
      <c r="CU2" s="232" t="s">
        <v>190</v>
      </c>
      <c r="CV2" s="232" t="s">
        <v>207</v>
      </c>
      <c r="CW2" s="232" t="s">
        <v>328</v>
      </c>
      <c r="CX2" s="232" t="s">
        <v>208</v>
      </c>
      <c r="CY2" s="232" t="s">
        <v>329</v>
      </c>
    </row>
    <row r="3" spans="1:103">
      <c r="A3" s="229" t="s">
        <v>7</v>
      </c>
      <c r="B3" s="226">
        <v>0</v>
      </c>
      <c r="C3" s="223">
        <v>0.3</v>
      </c>
      <c r="D3" s="242">
        <v>0</v>
      </c>
      <c r="E3" s="242">
        <v>0</v>
      </c>
      <c r="F3" s="226">
        <v>0</v>
      </c>
      <c r="G3" s="226">
        <v>0</v>
      </c>
      <c r="H3" s="226">
        <v>0</v>
      </c>
      <c r="I3" s="226">
        <v>0</v>
      </c>
      <c r="J3" s="226">
        <v>0</v>
      </c>
      <c r="K3" s="226">
        <v>0</v>
      </c>
      <c r="L3" s="226">
        <v>0</v>
      </c>
      <c r="M3" s="226">
        <v>0</v>
      </c>
      <c r="N3" s="226">
        <v>0</v>
      </c>
      <c r="O3" s="226">
        <v>0</v>
      </c>
      <c r="P3" s="226">
        <v>0</v>
      </c>
      <c r="Q3" s="226">
        <v>0</v>
      </c>
      <c r="R3" s="226">
        <v>0</v>
      </c>
      <c r="S3" s="226">
        <v>0</v>
      </c>
      <c r="T3" s="226">
        <v>0</v>
      </c>
      <c r="U3" s="226">
        <v>0</v>
      </c>
      <c r="V3" s="234">
        <v>0</v>
      </c>
      <c r="W3" s="234">
        <v>0</v>
      </c>
      <c r="X3" s="226">
        <v>0</v>
      </c>
      <c r="Y3" s="234">
        <v>0</v>
      </c>
      <c r="Z3" s="222">
        <v>0</v>
      </c>
      <c r="AA3" s="222">
        <v>0</v>
      </c>
      <c r="AB3" s="234">
        <v>0</v>
      </c>
      <c r="AC3" s="222">
        <v>0</v>
      </c>
      <c r="AD3" s="222">
        <v>0</v>
      </c>
      <c r="AE3" s="222">
        <v>0</v>
      </c>
      <c r="AF3" s="222">
        <v>0</v>
      </c>
      <c r="AG3" s="222">
        <v>0</v>
      </c>
      <c r="AH3" s="222">
        <v>0</v>
      </c>
      <c r="AI3" s="222">
        <v>0</v>
      </c>
      <c r="AJ3" s="226">
        <v>0</v>
      </c>
      <c r="AK3" s="226">
        <v>0</v>
      </c>
      <c r="AL3" s="226">
        <v>0</v>
      </c>
      <c r="AM3" s="222">
        <v>0</v>
      </c>
      <c r="AN3" s="226">
        <v>0</v>
      </c>
      <c r="AO3" s="226">
        <v>0</v>
      </c>
      <c r="AP3" s="226">
        <v>0</v>
      </c>
      <c r="AQ3" s="226">
        <v>0</v>
      </c>
      <c r="AR3" s="226">
        <v>0</v>
      </c>
      <c r="AS3" s="226">
        <v>0</v>
      </c>
      <c r="AT3" s="226">
        <v>0</v>
      </c>
      <c r="AU3" s="226">
        <v>0</v>
      </c>
      <c r="AV3" s="226">
        <v>0</v>
      </c>
      <c r="AW3" s="226">
        <v>0</v>
      </c>
      <c r="AX3" s="226">
        <v>0</v>
      </c>
      <c r="AY3" s="234">
        <v>0</v>
      </c>
      <c r="AZ3" s="234">
        <v>0</v>
      </c>
      <c r="BA3" s="226">
        <v>0</v>
      </c>
      <c r="BB3" s="234">
        <v>0</v>
      </c>
      <c r="BC3" s="234">
        <v>0</v>
      </c>
      <c r="BD3" s="234">
        <v>0</v>
      </c>
      <c r="BE3" s="234">
        <v>0</v>
      </c>
      <c r="BF3" s="222">
        <v>0</v>
      </c>
      <c r="BG3" s="222">
        <v>0</v>
      </c>
      <c r="BH3" s="234">
        <v>0</v>
      </c>
      <c r="BI3" s="222">
        <v>0</v>
      </c>
      <c r="BJ3" s="222">
        <v>0</v>
      </c>
      <c r="BK3" s="222">
        <v>0</v>
      </c>
      <c r="BL3" s="222">
        <v>0</v>
      </c>
      <c r="BM3" s="222">
        <v>0</v>
      </c>
      <c r="BN3" s="222">
        <v>0</v>
      </c>
      <c r="BO3" s="222">
        <v>0</v>
      </c>
      <c r="BP3" s="226">
        <v>0</v>
      </c>
      <c r="BQ3" s="226">
        <v>0</v>
      </c>
      <c r="BR3" s="226">
        <v>0</v>
      </c>
      <c r="BS3" s="222">
        <v>0</v>
      </c>
      <c r="BT3" s="226">
        <v>0</v>
      </c>
      <c r="BU3" s="226">
        <v>0</v>
      </c>
      <c r="BV3" s="226">
        <v>0</v>
      </c>
      <c r="BW3" s="226">
        <v>0</v>
      </c>
      <c r="BX3" s="226">
        <v>0</v>
      </c>
      <c r="BY3" s="226">
        <v>0</v>
      </c>
      <c r="BZ3" s="226">
        <v>0</v>
      </c>
      <c r="CA3" s="226">
        <v>0</v>
      </c>
      <c r="CB3" s="234">
        <v>0</v>
      </c>
      <c r="CC3" s="234">
        <v>0</v>
      </c>
      <c r="CD3" s="226">
        <v>0</v>
      </c>
      <c r="CE3" s="234">
        <v>0</v>
      </c>
      <c r="CF3" s="234">
        <v>0</v>
      </c>
      <c r="CG3" s="234">
        <v>0</v>
      </c>
      <c r="CH3" s="234">
        <v>0</v>
      </c>
      <c r="CI3" s="234">
        <v>0</v>
      </c>
      <c r="CJ3" s="234">
        <v>0</v>
      </c>
      <c r="CK3" s="234">
        <v>0</v>
      </c>
      <c r="CL3" s="223">
        <v>0</v>
      </c>
      <c r="CM3" s="223">
        <v>0</v>
      </c>
      <c r="CN3" s="234">
        <v>0</v>
      </c>
      <c r="CO3" s="222">
        <v>0</v>
      </c>
      <c r="CP3" s="222">
        <v>0</v>
      </c>
      <c r="CQ3" s="222">
        <v>0</v>
      </c>
      <c r="CR3" s="222">
        <v>0</v>
      </c>
      <c r="CS3" s="222">
        <v>0</v>
      </c>
      <c r="CT3" s="222">
        <v>0</v>
      </c>
      <c r="CU3" s="222">
        <v>0</v>
      </c>
      <c r="CV3" s="226">
        <v>0</v>
      </c>
      <c r="CW3" s="226">
        <v>0</v>
      </c>
      <c r="CX3" s="226">
        <v>0</v>
      </c>
      <c r="CY3" s="222">
        <v>0</v>
      </c>
    </row>
  </sheetData>
  <mergeCells count="4">
    <mergeCell ref="A1:E1"/>
    <mergeCell ref="BT1:CY1"/>
    <mergeCell ref="AN1:BS1"/>
    <mergeCell ref="H1:AM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17316d68-d322-4c2e-8e78-7eaa25143ebe">
      <UserInfo>
        <DisplayName/>
        <AccountId xsi:nil="true"/>
        <AccountType/>
      </UserInfo>
    </SharedWithUsers>
    <MediaLengthInSeconds xmlns="4e2a8481-03e3-4852-b35b-e66cd40ea3ae" xsi:nil="true"/>
    <TaxCatchAll xmlns="17316d68-d322-4c2e-8e78-7eaa25143ebe" xsi:nil="true"/>
    <lcf76f155ced4ddcb4097134ff3c332f xmlns="4e2a8481-03e3-4852-b35b-e66cd40ea3ae">
      <Terms xmlns="http://schemas.microsoft.com/office/infopath/2007/PartnerControls"/>
    </lcf76f155ced4ddcb4097134ff3c332f>
    <Responsable xmlns="4e2a8481-03e3-4852-b35b-e66cd40ea3ae">
      <UserInfo>
        <DisplayName/>
        <AccountId xsi:nil="true"/>
        <AccountType/>
      </UserInfo>
    </Responsable>
    <Link xmlns="4e2a8481-03e3-4852-b35b-e66cd40ea3ae">
      <Url xsi:nil="true"/>
      <Description xsi:nil="true"/>
    </Link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D6C3A714FC704F8059939D5B7A3CE7" ma:contentTypeVersion="21" ma:contentTypeDescription="Create a new document." ma:contentTypeScope="" ma:versionID="62b4959093bc1464c7737333f420a8d9">
  <xsd:schema xmlns:xsd="http://www.w3.org/2001/XMLSchema" xmlns:xs="http://www.w3.org/2001/XMLSchema" xmlns:p="http://schemas.microsoft.com/office/2006/metadata/properties" xmlns:ns2="4e2a8481-03e3-4852-b35b-e66cd40ea3ae" xmlns:ns3="17316d68-d322-4c2e-8e78-7eaa25143ebe" targetNamespace="http://schemas.microsoft.com/office/2006/metadata/properties" ma:root="true" ma:fieldsID="db7daf41f14269651e3e31dfdf14435b" ns2:_="" ns3:_="">
    <xsd:import namespace="4e2a8481-03e3-4852-b35b-e66cd40ea3ae"/>
    <xsd:import namespace="17316d68-d322-4c2e-8e78-7eaa25143e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  <xsd:element ref="ns2:Responsable" minOccurs="0"/>
                <xsd:element ref="ns2: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2a8481-03e3-4852-b35b-e66cd40ea3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7f68753-1e36-4716-ad1e-f6d5661a73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  <xsd:element name="Responsable" ma:index="27" nillable="true" ma:displayName="Responsables" ma:format="Dropdown" ma:list="UserInfo" ma:SharePointGroup="0" ma:internalName="Responsabl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" ma:index="28" nillable="true" ma:displayName="Link" ma:format="Hyperlink" ma:internalName="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316d68-d322-4c2e-8e78-7eaa25143eb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57c5b14-0ed6-46f9-8a93-edd9761dd7a9}" ma:internalName="TaxCatchAll" ma:showField="CatchAllData" ma:web="17316d68-d322-4c2e-8e78-7eaa25143e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F514A0-936C-47F0-A7CA-F8DD6EF69BD7}"/>
</file>

<file path=customXml/itemProps2.xml><?xml version="1.0" encoding="utf-8"?>
<ds:datastoreItem xmlns:ds="http://schemas.openxmlformats.org/officeDocument/2006/customXml" ds:itemID="{DCAC1AA6-5ED5-4B08-93E9-5B53BA7872B8}"/>
</file>

<file path=customXml/itemProps3.xml><?xml version="1.0" encoding="utf-8"?>
<ds:datastoreItem xmlns:ds="http://schemas.openxmlformats.org/officeDocument/2006/customXml" ds:itemID="{89631589-912A-4C5E-8604-ED06A23FEB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Natalia Zartha Suárez</dc:creator>
  <cp:keywords/>
  <dc:description/>
  <cp:lastModifiedBy>Meza Manuel</cp:lastModifiedBy>
  <cp:revision/>
  <dcterms:created xsi:type="dcterms:W3CDTF">2021-06-15T12:48:05Z</dcterms:created>
  <dcterms:modified xsi:type="dcterms:W3CDTF">2026-04-22T15:17:38Z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0x0101006AD6C3A714FC704F8059939D5B7A3CE7</vt:lpwstr>
  </property>
  <property fmtid="{D5CDD505-2E9C-101B-9397-08002B2CF9AE}" pid="3" name="Order">
    <vt:r8>238600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