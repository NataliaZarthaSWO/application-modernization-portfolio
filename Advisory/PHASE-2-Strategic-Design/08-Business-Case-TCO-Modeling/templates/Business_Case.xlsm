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drawings/drawing6.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5.xml" ContentType="application/vnd.openxmlformats-officedocument.spreadsheetml.comment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02"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softwareone.sharepoint.com/sites/ApplicationServicesPractice/App Services Portfolio/Modern Applications/MOA-Application Modernization/AM-Advisory/AM-AD-V1.2/03 AM-AD-Productization/AM-AD-PR-Templates/Business Case/ApplicationsFiles/"/>
    </mc:Choice>
  </mc:AlternateContent>
  <xr:revisionPtr revIDLastSave="288" documentId="13_ncr:1_{A56B65B8-88E0-44E5-9FD3-640103704502}" xr6:coauthVersionLast="47" xr6:coauthVersionMax="47" xr10:uidLastSave="{510F7BA5-B92D-4BF4-9D11-217F4F72413E}"/>
  <bookViews>
    <workbookView xWindow="20370" yWindow="-120" windowWidth="29040" windowHeight="15720" firstSheet="10" activeTab="2" xr2:uid="{C1C1D5D5-2A58-44E5-833D-0D0FD1710187}"/>
  </bookViews>
  <sheets>
    <sheet name="General_Information" sheetId="1" r:id="rId1"/>
    <sheet name="Operational_Cost" sheetId="3" r:id="rId2"/>
    <sheet name="Business_Cost" sheetId="4" r:id="rId3"/>
    <sheet name="Analysis" sheetId="7" r:id="rId4"/>
    <sheet name="Dropdownlist" sheetId="13" state="hidden" r:id="rId5"/>
    <sheet name="Productivity" sheetId="12" r:id="rId6"/>
    <sheet name="To graph" sheetId="15" r:id="rId7"/>
    <sheet name="Dashboard" sheetId="9" r:id="rId8"/>
    <sheet name="Business Case Summary" sheetId="6" r:id="rId9"/>
    <sheet name="Consolidated" sheetId="18" r:id="rId10"/>
    <sheet name="Consolidated_Saving_Costs" sheetId="17" r:id="rId11"/>
  </sheets>
  <definedNames>
    <definedName name="annual_extra_support_cost">Operational_Cost!$E$31</definedName>
    <definedName name="annual_repair_cost">Operational_Cost!$E$29</definedName>
    <definedName name="application_name">General_Information!$E$16</definedName>
    <definedName name="average_hourly_cost_employee_use_application_USD">Operational_Cost!$E$20</definedName>
    <definedName name="average_hourly_cost_it_employee_monthly">Operational_Cost!$E$18</definedName>
    <definedName name="average_many_it_employees">Operational_Cost!$E$14</definedName>
    <definedName name="business_cloud_cost_1_year">Analysis!$E$136</definedName>
    <definedName name="business_cloud_cost_2_year">Analysis!$F$136</definedName>
    <definedName name="business_cloud_cost_3_year">Analysis!$G$136</definedName>
    <definedName name="business_legacy_cost_1_year">Analysis!$E$120</definedName>
    <definedName name="business_legacy_cost_2_year">Analysis!$F$120</definedName>
    <definedName name="business_legacy_cost_3_year">Analysis!$G$120</definedName>
    <definedName name="cloud_availability_per_month">Analysis!$E$40</definedName>
    <definedName name="cloud_licensing_costs_1_year">Analysis!$E$38</definedName>
    <definedName name="company_name">General_Information!$E$10</definedName>
    <definedName name="Cost_of_change_Legacy_cost_while_implementing_cloud">Table_implementation_costs_summary_1[Cloud cost (on-premise and cloud coexistence)2]</definedName>
    <definedName name="current_date">Analysis!$E$11</definedName>
    <definedName name="date_2_year">Analysis!$G$11</definedName>
    <definedName name="date_3_year">Analysis!$H$11</definedName>
    <definedName name="date_license_expire">Operational_Cost!$E$77</definedName>
    <definedName name="date_next_license_purchase">Operational_Cost!$E$79</definedName>
    <definedName name="date_next_support_purchase">Operational_Cost!$E$85</definedName>
    <definedName name="days_of_the_month">Analysis!$E$13</definedName>
    <definedName name="dead_time_due_to_normal_slowness_min_per_day_consultant">Analysis!$E$26</definedName>
    <definedName name="dead_time_due_to_severe_slowness_cloud_min_per_day">Analysis!$E$42</definedName>
    <definedName name="downtime_cloud_costs_1_year">Analysis!$E$134</definedName>
    <definedName name="downtime_cloud_costs_2_year">Analysis!$F$134</definedName>
    <definedName name="downtime_cloud_costs_3_year">Analysis!$G$134</definedName>
    <definedName name="downtime_legacy_cost_1_year">Analysis!$E$118</definedName>
    <definedName name="downtime_legacy_costs_1_year">Analysis!$E$118</definedName>
    <definedName name="downtime_legacy_costs_2_year">Analysis!$F$118</definedName>
    <definedName name="downtime_legacy_costs_3_year">Analysis!$G$118</definedName>
    <definedName name="earning_from_change_1_year">Analysis!$E$145</definedName>
    <definedName name="earning_from_change_2_year">Analysis!$F$145</definedName>
    <definedName name="earning_from_change_3_year">Analysis!$G$145</definedName>
    <definedName name="how_often_pay_subscription_per_year">Operational_Cost!$E$70</definedName>
    <definedName name="iaas_infrastructure_cost">Operational_Cost!$E$59</definedName>
    <definedName name="increased_productivity_IT_team_1_year">Productivity!$E$22</definedName>
    <definedName name="infrastructure_cloud_cost_1_year">Analysis!$E$36</definedName>
    <definedName name="infrastructure_cloud_cost_2_year">Analysis!$F$129</definedName>
    <definedName name="infrastructure_cloud_cost_3_year">Analysis!$G$129</definedName>
    <definedName name="infrastructure_cloud_cost_consultant_1_year">Analysis!$E$129</definedName>
    <definedName name="infrastructure_legacy_cost_1_year">Analysis!$E$113</definedName>
    <definedName name="infrastructure_legacy_cost_2_year">Analysis!$F$113</definedName>
    <definedName name="infrastructure_legacy_cost_3_year">Analysis!$G$113</definedName>
    <definedName name="initial_investment">Analysis!$E$15</definedName>
    <definedName name="it_operational_productivity">Analysis!$E$32</definedName>
    <definedName name="it_salary_cloud_cost_1_year">Analysis!$E$127</definedName>
    <definedName name="it_salary_cloud_cost_2_year">Analysis!$F$127</definedName>
    <definedName name="it_salary_cloud_cost_3_year">Analysis!$G$127</definedName>
    <definedName name="it_salary_legacy_cost_1_year">Analysis!$E$111</definedName>
    <definedName name="it_salary_legacy_cost_2_year">Analysis!$F$111</definedName>
    <definedName name="it_salary_legacy_cost_3_year">Analysis!$G$111</definedName>
    <definedName name="it_salary_legacy_cost_monthly">Analysis!$E$54</definedName>
    <definedName name="licensing_cloud_cost_1_year">Analysis!$E$130</definedName>
    <definedName name="licensing_cloud_cost_2_year">Analysis!$F$130</definedName>
    <definedName name="licensing_cloud_cost_3_year">Analysis!$G$130</definedName>
    <definedName name="licensing_legacy_cost_1_year">Analysis!$E$114</definedName>
    <definedName name="licensing_legacy_cost_2_year">Analysis!$F$114</definedName>
    <definedName name="licensing_legacy_cost_3_year">Analysis!$G$114</definedName>
    <definedName name="many_times_the_app_gets_shut_down_in_weekly">Business_Cost!$E$18</definedName>
    <definedName name="many_times_the_app_gets_slow_in_daily_minutes">Business_Cost!$E$14</definedName>
    <definedName name="Modernization_Development_Cost">Table_implementation_costs_summary_1[Cost Implementation (Refactoring or Replatform estimated Using AMD estimating template)]</definedName>
    <definedName name="months_of_the_initial_investment">Analysis!$D$18</definedName>
    <definedName name="months_of_year">Analysis!$E$14</definedName>
    <definedName name="number_of_dead_seconds_per_minute">Analysis!$E$24</definedName>
    <definedName name="number_of_months_of_implementation">Analysis!$E$34</definedName>
    <definedName name="number_people_use_the_application">Operational_Cost!$E$22</definedName>
    <definedName name="on_premise_infrastucture_cost_with_depreciation">Operational_Cost!$E$51</definedName>
    <definedName name="on_Premise_Invest">Operational_Cost!$E$49</definedName>
    <definedName name="On_Premise_operation">Operational_Cost!$E$51</definedName>
    <definedName name="operational_cloud_cost_1_year">Analysis!$E$131</definedName>
    <definedName name="operational_cloud_cost_2_year">Analysis!$F$131</definedName>
    <definedName name="operational_cloud_cost_3_year">Analysis!$G$131</definedName>
    <definedName name="operational_legacy_cost_1_year">Analysis!$E$115</definedName>
    <definedName name="operational_legacy_cost_2_year">Analysis!$F$115</definedName>
    <definedName name="operational_legacy_cost_3_year">Analysis!$G$115</definedName>
    <definedName name="own_license_cost">Operational_Cost!$E$81</definedName>
    <definedName name="payback">'Business Case Summary'!$E$16</definedName>
    <definedName name="productivity_1_year">Productivity!$E$22</definedName>
    <definedName name="productivity_2_year">Productivity!$F$22</definedName>
    <definedName name="productivity_3_year">Productivity!$G$22</definedName>
    <definedName name="rate_of_inflation">Analysis!$E$12</definedName>
    <definedName name="ROI_1_year">Analysis!$E$146</definedName>
    <definedName name="ROI_2_year">Analysis!$F$146</definedName>
    <definedName name="ROI_3_year">Analysis!$G$146</definedName>
    <definedName name="salary_money_in_it_operation_salary_unexpected_cost_1_year_productivity">Productivity!$E$24</definedName>
    <definedName name="salary_money_in_it_operation_salary_unexpected_cost_2_year_productivity">Productivity!$F$24</definedName>
    <definedName name="salary_money_in_it_operation_salary_unexpected_cost_3_year_productivity">Productivity!$G$24</definedName>
    <definedName name="saving_app_shut_down_cost_percentage_1_year">Analysis!$E$152</definedName>
    <definedName name="saving_app_shut_down_cost_percentage_2_year">Analysis!$F$152</definedName>
    <definedName name="saving_app_shut_down_cost_percentage_3_year">Analysis!$G$152</definedName>
    <definedName name="saving_app_slow_down_cost_percentage_1_year">Analysis!$E$154</definedName>
    <definedName name="saving_app_slow_down_cost_percentage_2_year">Analysis!$F$154</definedName>
    <definedName name="saving_app_slow_down_cost_percentage_3_year">Analysis!$G$154</definedName>
    <definedName name="saving_infrastructure_cost_percentage_1_year">Analysis!$E$157</definedName>
    <definedName name="saving_infrastructure_cost_percentage_2_year">Analysis!$F$157</definedName>
    <definedName name="saving_infrastructure_cost_percentage_3_year">Analysis!$G$157</definedName>
    <definedName name="saving_infrastructure_cost_USD_1_year">Analysis!$E$158</definedName>
    <definedName name="saving_infrastructure_cost_USD_2_year">Analysis!$F$158</definedName>
    <definedName name="saving_infrastructure_cost_USD_3_year">Analysis!$G$158</definedName>
    <definedName name="saving_IT_salary_cost_percentage_1_year">Analysis!$E$159</definedName>
    <definedName name="saving_IT_salary_cost_percentage_2_year">Analysis!$F$159</definedName>
    <definedName name="saving_IT_salary_cost_percentage_3_year">Analysis!$G$159</definedName>
    <definedName name="saving_IT_salary_cost_USD_1_year">Analysis!$E$160</definedName>
    <definedName name="saving_IT_salary_cost_USD_2_year">Analysis!$F$160</definedName>
    <definedName name="saving_IT_salary_cost_USD_3_year">Analysis!$G$160</definedName>
    <definedName name="saving_IT_unexpected_cost_percentage_1_year">Analysis!$E$161</definedName>
    <definedName name="saving_IT_unexpected_cost_percentage_2_year">Analysis!$F$161</definedName>
    <definedName name="saving_IT_unexpected_cost_percentage_3_year">Analysis!$G$161</definedName>
    <definedName name="saving_IT_unexpected_cost_USD_1_year">Analysis!$E$162</definedName>
    <definedName name="saving_IT_unexpected_cost_USD_2_year">Analysis!$F$162</definedName>
    <definedName name="saving_IT_unexpected_cost_USD_3_year">Analysis!$G$162</definedName>
    <definedName name="saving_money_improvements_productivity_2_year">Productivity!$F$25</definedName>
    <definedName name="saving_money_improvements_productivity_percentage_1_year">Productivity!$E$29</definedName>
    <definedName name="saving_money_improvements_productivity_percentage_2_year">Productivity!$F$29</definedName>
    <definedName name="saving_money_improvements_productivity_percentage_3_year">Productivity!$G$29</definedName>
    <definedName name="Saving_money_show_down_and_slow_down_1_year">Productivity!$E$23</definedName>
    <definedName name="Saving_money_show_down_and_slow_down_2_year">Productivity!$F$23</definedName>
    <definedName name="Saving_money_show_down_and_slow_down_3_year">Productivity!$G$23</definedName>
    <definedName name="savings_in_operational_expenditures_1_year">Analysis!$E$144</definedName>
    <definedName name="savings_in_operational_expenditures_2_year">Analysis!$F$144</definedName>
    <definedName name="savings_in_operational_expenditures_3_year">Analysis!$G$144</definedName>
    <definedName name="savings_money_improvements_productivity_1_year">Productivity!$E$25</definedName>
    <definedName name="savings_money_improvements_productivity_3_year">Productivity!$G$25</definedName>
    <definedName name="shut_down_cloud_cost_1_year">Analysis!$E$135</definedName>
    <definedName name="shut_down_cloud_cost_2_year">Analysis!$F$135</definedName>
    <definedName name="shut_down_cloud_cost_3_year">Analysis!$G$135</definedName>
    <definedName name="shut_down_legacy_cost_1_year">Analysis!$E$119</definedName>
    <definedName name="shut_down_legacy_cost_2_year">Analysis!$F$119</definedName>
    <definedName name="shut_down_legacy_cost_3_year">Analysis!$G$119</definedName>
    <definedName name="shutdown_hours_monthly_cloud">Analysis!#REF!</definedName>
    <definedName name="slowdown_hours_monthly_cloud">Analysis!#REF!</definedName>
    <definedName name="subscription_value">Operational_Cost!$E$72</definedName>
    <definedName name="support_cost">Operational_Cost!$E$83</definedName>
    <definedName name="TCO_reduction_1_year_percentage">'Business Case Summary'!$L$19</definedName>
    <definedName name="TCO_reduction_1_year_USD">'Business Case Summary'!$L$20</definedName>
    <definedName name="TCO_reduction_2_year_percentage">'Business Case Summary'!$M$19</definedName>
    <definedName name="TCO_reduction_2_year_USD">'Business Case Summary'!$M$20</definedName>
    <definedName name="TCO_reduction_3_year_percentage">'Business Case Summary'!$N$19</definedName>
    <definedName name="TCO_reduction_3_year_USD">'Business Case Summary'!$N$20</definedName>
    <definedName name="thrid_party_infrastructure_cost">Operational_Cost!$E$55</definedName>
    <definedName name="total_cloud_cost_1_year">Analysis!$E$137</definedName>
    <definedName name="total_cloud_cost_2_year">Analysis!$F$137</definedName>
    <definedName name="total_cloud_cost_3_year">Analysis!$G$137</definedName>
    <definedName name="total_dead_time_cloud_min_per_day">Analysis!$E$44</definedName>
    <definedName name="total_legacy_cost_1_year">Analysis!$E$121</definedName>
    <definedName name="total_legacy_cost_2_year">Analysis!$F$121</definedName>
    <definedName name="total_legacy_cost_3_year">Analysis!$G$121</definedName>
    <definedName name="unexpected_cloud_cost_1_year">Analysis!$E$128</definedName>
    <definedName name="unexpected_cloud_cost_2_year">Analysis!$F$128</definedName>
    <definedName name="unexpected_cloud_cost_3_year">Analysis!$G$128</definedName>
    <definedName name="unexpected_legacy_cost_1_year">Analysis!$E$112</definedName>
    <definedName name="unexpected_legacy_cost_2_year">Analysis!$F$112</definedName>
    <definedName name="unexpected_legacy_cost_3_year">Analysis!$G$112</definedName>
    <definedName name="working_hours_per_day">Business_Cost!$E$24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4" i="12" l="1"/>
  <c r="F13" i="12"/>
  <c r="F12" i="17" l="1"/>
  <c r="U12" i="17" l="1"/>
  <c r="E12" i="17" l="1"/>
  <c r="C12" i="17" l="1"/>
  <c r="E8" i="6"/>
  <c r="F8" i="9"/>
  <c r="E8" i="7"/>
  <c r="E12" i="4"/>
  <c r="E12" i="3"/>
  <c r="E13" i="12" l="1"/>
  <c r="E98" i="7" l="1"/>
  <c r="E119" i="7" s="1"/>
  <c r="P12" i="17" s="1"/>
  <c r="E95" i="7"/>
  <c r="F15" i="12"/>
  <c r="E15" i="12"/>
  <c r="E14" i="12"/>
  <c r="F12" i="12"/>
  <c r="E12" i="12"/>
  <c r="E112" i="7"/>
  <c r="E102" i="7"/>
  <c r="E101" i="7"/>
  <c r="E129" i="7"/>
  <c r="E130" i="7"/>
  <c r="V12" i="17" s="1"/>
  <c r="E84" i="7"/>
  <c r="E80" i="7"/>
  <c r="E72" i="7"/>
  <c r="E68" i="7"/>
  <c r="E67" i="7"/>
  <c r="E69" i="7"/>
  <c r="E66" i="7"/>
  <c r="E54" i="7"/>
  <c r="E55" i="7" s="1"/>
  <c r="E128" i="7" l="1"/>
  <c r="K12" i="17"/>
  <c r="E135" i="7"/>
  <c r="E152" i="7" s="1"/>
  <c r="E57" i="7"/>
  <c r="F34" i="6"/>
  <c r="E11" i="7"/>
  <c r="E81" i="7" s="1"/>
  <c r="T12" i="17" l="1"/>
  <c r="E161" i="7"/>
  <c r="AI12" i="17" s="1"/>
  <c r="E162" i="7"/>
  <c r="AG12" i="17"/>
  <c r="Y12" i="17"/>
  <c r="E153" i="7"/>
  <c r="G11" i="7"/>
  <c r="F81" i="7" s="1"/>
  <c r="H11" i="7" l="1"/>
  <c r="G81" i="7" s="1"/>
  <c r="E70" i="7"/>
  <c r="E82" i="7"/>
  <c r="E114" i="7" l="1"/>
  <c r="E163" i="7" s="1"/>
  <c r="E113" i="7"/>
  <c r="E157" i="7" s="1"/>
  <c r="E164" i="7" l="1"/>
  <c r="E26" i="12"/>
  <c r="L12" i="17"/>
  <c r="M12" i="17"/>
  <c r="E158" i="7"/>
  <c r="AK12" i="17"/>
  <c r="E96" i="7"/>
  <c r="E97" i="7" s="1"/>
  <c r="E103" i="7" l="1"/>
  <c r="E118" i="7"/>
  <c r="O12" i="17" s="1"/>
  <c r="E134" i="7" l="1"/>
  <c r="E154" i="7" s="1"/>
  <c r="E17" i="12"/>
  <c r="E16" i="12" s="1"/>
  <c r="F17" i="12"/>
  <c r="F16" i="12" s="1"/>
  <c r="AH12" i="17" l="1"/>
  <c r="X12" i="17"/>
  <c r="E155" i="7"/>
  <c r="E22" i="12"/>
  <c r="AF12" i="17" s="1"/>
  <c r="E23" i="12" l="1"/>
  <c r="E168" i="7" s="1"/>
  <c r="E11" i="6"/>
  <c r="AL12" i="17" l="1"/>
  <c r="E104" i="7"/>
  <c r="E12" i="7"/>
  <c r="F80" i="7" s="1"/>
  <c r="G80" i="7" l="1"/>
  <c r="G82" i="7" s="1"/>
  <c r="G114" i="7" s="1"/>
  <c r="BY12" i="17" s="1"/>
  <c r="F82" i="7"/>
  <c r="F114" i="7" s="1"/>
  <c r="AS12" i="17" s="1"/>
  <c r="F129" i="7"/>
  <c r="F119" i="7"/>
  <c r="F112" i="7"/>
  <c r="AQ12" i="17" s="1"/>
  <c r="F130" i="7"/>
  <c r="F135" i="7"/>
  <c r="BE12" i="17" s="1"/>
  <c r="F113" i="7"/>
  <c r="F118" i="7"/>
  <c r="F22" i="12"/>
  <c r="BL12" i="17" s="1"/>
  <c r="F23" i="12"/>
  <c r="F168" i="7" s="1"/>
  <c r="E58" i="7"/>
  <c r="E99" i="7"/>
  <c r="AU12" i="17" l="1"/>
  <c r="AV12" i="17"/>
  <c r="F152" i="7"/>
  <c r="BM12" i="17" s="1"/>
  <c r="F163" i="7"/>
  <c r="BA12" i="17"/>
  <c r="F157" i="7"/>
  <c r="BQ12" i="17" s="1"/>
  <c r="F164" i="7"/>
  <c r="G23" i="12"/>
  <c r="G168" i="7" s="1"/>
  <c r="BR12" i="17"/>
  <c r="G130" i="7"/>
  <c r="G163" i="7" s="1"/>
  <c r="BB12" i="17"/>
  <c r="F26" i="12"/>
  <c r="AR12" i="17"/>
  <c r="G22" i="12"/>
  <c r="CR12" i="17" s="1"/>
  <c r="G118" i="7"/>
  <c r="G113" i="7"/>
  <c r="F158" i="7"/>
  <c r="G135" i="7"/>
  <c r="CK12" i="17" s="1"/>
  <c r="G112" i="7"/>
  <c r="BW12" i="17" s="1"/>
  <c r="G119" i="7"/>
  <c r="F153" i="7"/>
  <c r="G129" i="7"/>
  <c r="F128" i="7"/>
  <c r="E120" i="7"/>
  <c r="E105" i="7"/>
  <c r="E111" i="7"/>
  <c r="F134" i="7"/>
  <c r="BD12" i="17" s="1"/>
  <c r="F154" i="7" l="1"/>
  <c r="BN12" i="17" s="1"/>
  <c r="CB12" i="17"/>
  <c r="G152" i="7"/>
  <c r="CS12" i="17" s="1"/>
  <c r="CA12" i="17"/>
  <c r="CG12" i="17"/>
  <c r="G157" i="7"/>
  <c r="CW12" i="17" s="1"/>
  <c r="AZ12" i="17"/>
  <c r="F161" i="7"/>
  <c r="BO12" i="17" s="1"/>
  <c r="CH12" i="17"/>
  <c r="G164" i="7"/>
  <c r="CX12" i="17"/>
  <c r="Q12" i="17"/>
  <c r="E30" i="15"/>
  <c r="E24" i="12"/>
  <c r="J12" i="17"/>
  <c r="G26" i="12"/>
  <c r="BX12" i="17"/>
  <c r="E24" i="15"/>
  <c r="E13" i="15"/>
  <c r="G162" i="7"/>
  <c r="G158" i="7"/>
  <c r="G134" i="7"/>
  <c r="G154" i="7" s="1"/>
  <c r="G153" i="7"/>
  <c r="F155" i="7"/>
  <c r="F111" i="7"/>
  <c r="F162" i="7"/>
  <c r="G128" i="7"/>
  <c r="E127" i="7"/>
  <c r="F136" i="7"/>
  <c r="F120" i="7"/>
  <c r="E115" i="7"/>
  <c r="E136" i="7"/>
  <c r="S12" i="17" l="1"/>
  <c r="E159" i="7"/>
  <c r="CF12" i="17"/>
  <c r="G161" i="7"/>
  <c r="CU12" i="17" s="1"/>
  <c r="E169" i="7"/>
  <c r="AN12" i="17"/>
  <c r="CT12" i="17"/>
  <c r="CJ12" i="17"/>
  <c r="F31" i="15"/>
  <c r="BF12" i="17"/>
  <c r="F24" i="12"/>
  <c r="AP12" i="17"/>
  <c r="AW12" i="17"/>
  <c r="F30" i="15"/>
  <c r="E31" i="15"/>
  <c r="Z12" i="17"/>
  <c r="E32" i="15"/>
  <c r="N12" i="17"/>
  <c r="E160" i="7"/>
  <c r="F23" i="15"/>
  <c r="F16" i="15"/>
  <c r="E26" i="15"/>
  <c r="E14" i="15"/>
  <c r="E23" i="15"/>
  <c r="E16" i="15"/>
  <c r="F13" i="15"/>
  <c r="F24" i="15"/>
  <c r="G155" i="7"/>
  <c r="G111" i="7"/>
  <c r="F127" i="7"/>
  <c r="AJ12" i="17"/>
  <c r="G136" i="7"/>
  <c r="G120" i="7"/>
  <c r="F115" i="7"/>
  <c r="E121" i="7"/>
  <c r="F40" i="15" s="1"/>
  <c r="E131" i="7"/>
  <c r="E144" i="7" s="1"/>
  <c r="E25" i="12"/>
  <c r="E167" i="7" s="1"/>
  <c r="E40" i="15" l="1"/>
  <c r="AY12" i="17"/>
  <c r="F159" i="7"/>
  <c r="F169" i="7"/>
  <c r="BT12" i="17"/>
  <c r="AM12" i="17"/>
  <c r="E38" i="6"/>
  <c r="G24" i="12"/>
  <c r="BV12" i="17"/>
  <c r="CC12" i="17"/>
  <c r="G30" i="15"/>
  <c r="E33" i="15"/>
  <c r="W12" i="17"/>
  <c r="G31" i="15"/>
  <c r="CL12" i="17"/>
  <c r="AT12" i="17"/>
  <c r="R12" i="17"/>
  <c r="F32" i="15"/>
  <c r="F160" i="7"/>
  <c r="G13" i="15"/>
  <c r="G24" i="15"/>
  <c r="G15" i="15"/>
  <c r="E15" i="15"/>
  <c r="F15" i="15"/>
  <c r="G14" i="15"/>
  <c r="F26" i="15"/>
  <c r="F14" i="15"/>
  <c r="G23" i="15"/>
  <c r="G16" i="15"/>
  <c r="E17" i="15"/>
  <c r="E25" i="15"/>
  <c r="G127" i="7"/>
  <c r="BP12" i="17"/>
  <c r="F121" i="7"/>
  <c r="E34" i="6"/>
  <c r="E27" i="12"/>
  <c r="F25" i="12"/>
  <c r="F167" i="7" s="1"/>
  <c r="G115" i="7"/>
  <c r="F131" i="7"/>
  <c r="F144" i="7" s="1"/>
  <c r="E137" i="7"/>
  <c r="E15" i="7" s="1"/>
  <c r="G40" i="15" l="1"/>
  <c r="I12" i="17" a="1"/>
  <c r="I12" i="17" s="1"/>
  <c r="CE12" i="17"/>
  <c r="G159" i="7"/>
  <c r="CV12" i="17" s="1"/>
  <c r="E39" i="15"/>
  <c r="D12" i="17"/>
  <c r="E29" i="12"/>
  <c r="H26" i="12"/>
  <c r="H24" i="12"/>
  <c r="H23" i="12"/>
  <c r="G169" i="7"/>
  <c r="CZ12" i="17"/>
  <c r="F39" i="15"/>
  <c r="BS12" i="17"/>
  <c r="C45" i="15"/>
  <c r="F33" i="15"/>
  <c r="BC12" i="17"/>
  <c r="AA12" i="17"/>
  <c r="BZ12" i="17"/>
  <c r="AX12" i="17"/>
  <c r="AC12" i="17"/>
  <c r="G32" i="15"/>
  <c r="G26" i="15"/>
  <c r="L20" i="6"/>
  <c r="G18" i="15"/>
  <c r="E18" i="15"/>
  <c r="F18" i="15"/>
  <c r="F17" i="15"/>
  <c r="F25" i="15"/>
  <c r="G160" i="7"/>
  <c r="E145" i="7"/>
  <c r="F137" i="7"/>
  <c r="E23" i="6"/>
  <c r="L18" i="6"/>
  <c r="E116" i="7"/>
  <c r="G131" i="7"/>
  <c r="G144" i="7" s="1"/>
  <c r="F27" i="12"/>
  <c r="F29" i="12" s="1"/>
  <c r="G25" i="12"/>
  <c r="G121" i="7"/>
  <c r="H40" i="15" l="1"/>
  <c r="I24" i="12"/>
  <c r="E166" i="7"/>
  <c r="I23" i="12"/>
  <c r="I26" i="12"/>
  <c r="E146" i="7"/>
  <c r="L19" i="6"/>
  <c r="AO12" i="17" s="1"/>
  <c r="F166" i="7"/>
  <c r="G166" i="7"/>
  <c r="CY12" i="17"/>
  <c r="G167" i="7"/>
  <c r="G27" i="12"/>
  <c r="G29" i="12" s="1"/>
  <c r="M18" i="6"/>
  <c r="BG12" i="17"/>
  <c r="G33" i="15"/>
  <c r="CI12" i="17"/>
  <c r="CD12" i="17"/>
  <c r="BI12" i="17"/>
  <c r="AD12" i="17"/>
  <c r="G39" i="15"/>
  <c r="G25" i="15"/>
  <c r="G17" i="15"/>
  <c r="M20" i="6"/>
  <c r="F145" i="7"/>
  <c r="E21" i="6" s="1"/>
  <c r="G137" i="7"/>
  <c r="E132" i="7"/>
  <c r="H27" i="12"/>
  <c r="E12" i="6"/>
  <c r="C38" i="6"/>
  <c r="F38" i="6" s="1"/>
  <c r="C34" i="6"/>
  <c r="G34" i="6" s="1"/>
  <c r="I27" i="12" l="1"/>
  <c r="F146" i="7"/>
  <c r="M19" i="6"/>
  <c r="BU12" i="17" s="1"/>
  <c r="H12" i="17" a="1"/>
  <c r="H12" i="17" s="1"/>
  <c r="N18" i="6"/>
  <c r="CM12" i="17"/>
  <c r="CO12" i="17"/>
  <c r="BJ12" i="17"/>
  <c r="AE12" i="17"/>
  <c r="AB12" i="17"/>
  <c r="L17" i="6"/>
  <c r="L16" i="6" s="1"/>
  <c r="E9" i="6"/>
  <c r="H39" i="15"/>
  <c r="G145" i="7"/>
  <c r="E22" i="6" s="1"/>
  <c r="N20" i="6"/>
  <c r="G146" i="7" l="1"/>
  <c r="N19" i="6"/>
  <c r="DA12" i="17" s="1"/>
  <c r="CP12" i="17"/>
  <c r="BK12" i="17"/>
  <c r="BH12" i="17"/>
  <c r="M17" i="6"/>
  <c r="M16" i="6" s="1"/>
  <c r="E10" i="6"/>
  <c r="E17" i="6"/>
  <c r="CQ12" i="17" l="1"/>
  <c r="CN12" i="17"/>
  <c r="N17" i="6"/>
  <c r="N16" i="6" s="1"/>
  <c r="E16" i="6" s="1"/>
  <c r="G12" i="17" s="1"/>
  <c r="E18" i="6"/>
  <c r="E44" i="15" l="1"/>
  <c r="E4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Zartha, Natalia</author>
  </authors>
  <commentList>
    <comment ref="C20" authorId="0" shapeId="0" xr:uid="{B1EB9E11-4BD6-49A4-9B6D-2EC43522C3DD}">
      <text>
        <r>
          <rPr>
            <sz val="11"/>
            <color theme="1"/>
            <rFont val="Calibri"/>
            <family val="2"/>
            <scheme val="minor"/>
          </rPr>
          <t>Author:
The first question is in percentage terms</t>
        </r>
      </text>
    </comment>
    <comment ref="C22" authorId="0" shapeId="0" xr:uid="{013C24B4-606C-40B2-B530-07EAC28DFB0C}">
      <text>
        <r>
          <rPr>
            <sz val="11"/>
            <color theme="1"/>
            <rFont val="Calibri"/>
            <family val="2"/>
            <scheme val="minor"/>
          </rPr>
          <t>Author:
The second in monetary terms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Zartha, Natalia</author>
    <author>Natalia Zartha Suárez</author>
  </authors>
  <commentList>
    <comment ref="C15" authorId="0" shapeId="0" xr:uid="{A4C6DDBC-6CB4-484C-AE1A-8A5EB7A6E3AE}">
      <text>
        <r>
          <rPr>
            <sz val="11"/>
            <color theme="1"/>
            <rFont val="Calibri"/>
            <family val="2"/>
            <scheme val="minor"/>
          </rPr>
          <t xml:space="preserve">Equation
(Total cloud cost / 12 months) * 3 first months of costs
</t>
        </r>
      </text>
    </comment>
    <comment ref="C32" authorId="1" shapeId="0" xr:uid="{DFB5D1E8-0041-4A90-9891-5CD5B494B6EF}">
      <text>
        <r>
          <rPr>
            <sz val="11"/>
            <color theme="1"/>
            <rFont val="Calibri"/>
            <family val="2"/>
            <scheme val="minor"/>
          </rPr>
          <t>Author:
30 % Replatform, 40 % Refactor</t>
        </r>
      </text>
    </comment>
    <comment ref="C34" authorId="0" shapeId="0" xr:uid="{8F4B6789-68BC-41E9-9B8C-D36F9DBE26FD}">
      <text>
        <r>
          <rPr>
            <sz val="11"/>
            <color theme="1"/>
            <rFont val="Calibri"/>
            <family val="2"/>
            <scheme val="minor"/>
          </rPr>
          <t>Author:
Calculate this value with the estimation templates for Refactor and Replatform</t>
        </r>
      </text>
    </comment>
    <comment ref="C36" authorId="0" shapeId="0" xr:uid="{AD0A769D-2014-4376-A650-777335E6568B}">
      <text>
        <r>
          <rPr>
            <sz val="11"/>
            <color theme="1"/>
            <rFont val="Calibri"/>
            <family val="2"/>
            <scheme val="minor"/>
          </rPr>
          <t>Recommendations
Take into account the three environments (Production, Test, and Development), and also take into account the enterprise agreement and the volumetry of the data to measure the growth of the database.</t>
        </r>
      </text>
    </comment>
    <comment ref="C54" authorId="1" shapeId="0" xr:uid="{8CA9D307-62D7-4BF7-80B5-47ECCFEA24D7}">
      <text>
        <r>
          <rPr>
            <sz val="11"/>
            <color theme="1"/>
            <rFont val="Calibri"/>
            <family val="2"/>
            <scheme val="minor"/>
          </rPr>
          <t>Author:
Number of IT Employees of the application *Average Cost of an IT employee</t>
        </r>
      </text>
    </comment>
    <comment ref="C55" authorId="1" shapeId="0" xr:uid="{6BE8EFA2-43FD-47D8-8150-EF9A661AC370}">
      <text>
        <r>
          <rPr>
            <sz val="11"/>
            <color theme="1"/>
            <rFont val="Calibri"/>
            <family val="2"/>
            <scheme val="minor"/>
          </rPr>
          <t>Autor:
IT salary cost (Monthly)* 12</t>
        </r>
      </text>
    </comment>
    <comment ref="C57" authorId="1" shapeId="0" xr:uid="{CA5E14AA-2679-4951-B4C3-10C43FB34B5D}">
      <text>
        <r>
          <rPr>
            <sz val="11"/>
            <color theme="1"/>
            <rFont val="Calibri"/>
            <family val="2"/>
            <scheme val="minor"/>
          </rPr>
          <t>Author:
IT salary legacy cost (Monthly)* (1-increased productivity IT team)</t>
        </r>
      </text>
    </comment>
    <comment ref="C58" authorId="1" shapeId="0" xr:uid="{D6554CC1-7CA2-42A4-B528-39B4A63F9CD8}">
      <text>
        <r>
          <rPr>
            <sz val="11"/>
            <color theme="1"/>
            <rFont val="Calibri"/>
            <family val="2"/>
            <scheme val="minor"/>
          </rPr>
          <t>Author:
IT Salary legacy cost(year) *(1- increased productivity IT team)</t>
        </r>
      </text>
    </comment>
    <comment ref="C67" authorId="1" shapeId="0" xr:uid="{A3DFE3CA-F0F3-493E-BED0-BF42BB89F0A6}">
      <text>
        <r>
          <rPr>
            <b/>
            <sz val="9"/>
            <color indexed="81"/>
            <rFont val="Tahoma"/>
            <family val="2"/>
          </rPr>
          <t>Natalia Zartha Suárez:</t>
        </r>
        <r>
          <rPr>
            <sz val="9"/>
            <color indexed="81"/>
            <rFont val="Tahoma"/>
            <family val="2"/>
          </rPr>
          <t xml:space="preserve">
Please provide how much money you have planned to invest for the next infraestructure renovation?
Applies for the first year, for the second this value is subtracted from the infrastructure</t>
        </r>
      </text>
    </comment>
    <comment ref="C68" authorId="1" shapeId="0" xr:uid="{DA08F273-AEAA-4FB9-848E-C3B678F0C281}">
      <text>
        <r>
          <rPr>
            <b/>
            <sz val="9"/>
            <color indexed="81"/>
            <rFont val="Tahoma"/>
            <family val="2"/>
          </rPr>
          <t>Natalia Zartha Suárez:</t>
        </r>
        <r>
          <rPr>
            <sz val="9"/>
            <color indexed="81"/>
            <rFont val="Tahoma"/>
            <family val="2"/>
          </rPr>
          <t xml:space="preserve">
Please provide the consolidated cost of the infrastructure with depreciation per year</t>
        </r>
      </text>
    </comment>
    <comment ref="C72" authorId="1" shapeId="0" xr:uid="{E38232D3-50EF-4134-A32B-2808125CE816}">
      <text>
        <r>
          <rPr>
            <b/>
            <sz val="9"/>
            <color indexed="81"/>
            <rFont val="Tahoma"/>
            <family val="2"/>
          </rPr>
          <t>Natalia Zartha Suárez:</t>
        </r>
        <r>
          <rPr>
            <sz val="9"/>
            <color indexed="81"/>
            <rFont val="Tahoma"/>
            <family val="2"/>
          </rPr>
          <t xml:space="preserve">
Consultant</t>
        </r>
      </text>
    </comment>
    <comment ref="C80" authorId="1" shapeId="0" xr:uid="{733402F6-1A79-4DB5-966B-45F266C07476}">
      <text>
        <r>
          <rPr>
            <sz val="11"/>
            <color theme="1"/>
            <rFont val="Calibri"/>
            <family val="2"/>
            <scheme val="minor"/>
          </rPr>
          <t>Author:
Offer amount per year*subscription value</t>
        </r>
      </text>
    </comment>
    <comment ref="C81" authorId="1" shapeId="0" xr:uid="{D2097E43-EAD3-461D-BB05-BCC75844EE2E}">
      <text>
        <r>
          <rPr>
            <sz val="11"/>
            <color theme="1"/>
            <rFont val="Calibri"/>
            <family val="2"/>
            <scheme val="minor"/>
          </rPr>
          <t>Author:
Purchase cost +  support cost</t>
        </r>
      </text>
    </comment>
    <comment ref="E81" authorId="1" shapeId="0" xr:uid="{0DEA652D-8E3C-4EEB-934D-5B8989F96F42}">
      <text>
        <r>
          <rPr>
            <sz val="11"/>
            <color theme="1"/>
            <rFont val="Calibri"/>
            <family val="2"/>
            <scheme val="minor"/>
          </rPr>
          <t xml:space="preserve">Author:
If the license has already been paid for, the cost is the value of the support. but if you have not paid license, the cost is the sum support + license </t>
        </r>
      </text>
    </comment>
    <comment ref="C84" authorId="1" shapeId="0" xr:uid="{BC43591A-452B-4954-9466-50569C1412EF}">
      <text>
        <r>
          <rPr>
            <sz val="11"/>
            <color theme="1"/>
            <rFont val="Calibri"/>
            <family val="2"/>
            <scheme val="minor"/>
          </rPr>
          <t>Author:
Consultant</t>
        </r>
      </text>
    </comment>
    <comment ref="C95" authorId="1" shapeId="0" xr:uid="{529FFA75-37F6-4B7F-9EB1-5629001FA658}">
      <text>
        <r>
          <rPr>
            <sz val="11"/>
            <color theme="1"/>
            <rFont val="Calibri"/>
            <family val="2"/>
            <scheme val="minor"/>
          </rPr>
          <t>Author:
Number of minutes slowness *( number of dead seconds per minute/60 seconds)).</t>
        </r>
      </text>
    </comment>
    <comment ref="C96" authorId="1" shapeId="0" xr:uid="{A85A9BA5-A248-48A4-A11E-3BE15515B6F3}">
      <text>
        <r>
          <rPr>
            <sz val="11"/>
            <color theme="1"/>
            <rFont val="Calibri"/>
            <family val="2"/>
            <scheme val="minor"/>
          </rPr>
          <t>Author:
Severe Slow Dead Time + Normal Slow Dead Time</t>
        </r>
      </text>
    </comment>
    <comment ref="C97" authorId="1" shapeId="0" xr:uid="{3C1F26CB-D345-43F9-BFDF-B097A9310A4B}">
      <text>
        <r>
          <rPr>
            <sz val="11"/>
            <color theme="1"/>
            <rFont val="Calibri"/>
            <family val="2"/>
            <scheme val="minor"/>
          </rPr>
          <t>Author:
((Number of people using the application * Total downtime due to slowness) / 60 * average cost per hour employee using the application) * 30</t>
        </r>
      </text>
    </comment>
    <comment ref="C98" authorId="1" shapeId="0" xr:uid="{07133117-3E61-494E-BEFB-9839327BF422}">
      <text>
        <r>
          <rPr>
            <sz val="11"/>
            <color theme="1"/>
            <rFont val="Calibri"/>
            <family val="2"/>
            <scheme val="minor"/>
          </rPr>
          <t>Author:
Number of people who work in the app * hourly value of the employee who works in the app * (time offline / 60 seconds) * 4</t>
        </r>
      </text>
    </comment>
    <comment ref="C99" authorId="1" shapeId="0" xr:uid="{2B678AB7-7BCB-4F2B-9467-89AFDC5B10A8}">
      <text>
        <r>
          <rPr>
            <sz val="11"/>
            <color theme="1"/>
            <rFont val="Calibri"/>
            <family val="2"/>
            <scheme val="minor"/>
          </rPr>
          <t>Author:
Downtime cost + shut down</t>
        </r>
      </text>
    </comment>
    <comment ref="C103" authorId="1" shapeId="0" xr:uid="{3B3C1526-9F47-498F-86E1-E064851C15DD}">
      <text>
        <r>
          <rPr>
            <sz val="11"/>
            <color theme="1"/>
            <rFont val="Calibri"/>
            <family val="2"/>
            <scheme val="minor"/>
          </rPr>
          <t>Author:
Downtime legacy cost *(1- Increased productivity IT team)</t>
        </r>
      </text>
    </comment>
    <comment ref="C104" authorId="1" shapeId="0" xr:uid="{1D32744A-6BE5-4960-8A3D-7FF60E0C964F}">
      <text>
        <r>
          <rPr>
            <sz val="11"/>
            <color theme="1"/>
            <rFont val="Calibri"/>
            <family val="2"/>
            <scheme val="minor"/>
          </rPr>
          <t>Author:
Shut down cost * (1-Cloud availability per month)</t>
        </r>
      </text>
    </comment>
    <comment ref="C112" authorId="1" shapeId="0" xr:uid="{75EBE1E1-EA9E-4686-9444-BCA88C3118B2}">
      <text>
        <r>
          <rPr>
            <sz val="11"/>
            <color theme="1"/>
            <rFont val="Calibri"/>
            <family val="2"/>
            <scheme val="minor"/>
          </rPr>
          <t>Author:
Repair costs+extra support costs</t>
        </r>
      </text>
    </comment>
    <comment ref="F113" authorId="1" shapeId="0" xr:uid="{C2E7B95F-7379-488C-BD5A-344A91FC8260}">
      <text>
        <r>
          <rPr>
            <sz val="11"/>
            <color theme="1"/>
            <rFont val="Calibri"/>
            <family val="2"/>
            <scheme val="minor"/>
          </rPr>
          <t>Author:
infrastructure cost of the first year - On-Premise Invest *(1+Rate of inflation
)</t>
        </r>
      </text>
    </comment>
    <comment ref="F114" authorId="1" shapeId="0" xr:uid="{8CD0C9AC-E411-4005-AA01-A301FDBC0E9C}">
      <text>
        <r>
          <rPr>
            <sz val="11"/>
            <color theme="1"/>
            <rFont val="Calibri"/>
            <family val="2"/>
            <scheme val="minor"/>
          </rPr>
          <t xml:space="preserve">Author:
If the license has already been paid for, the cost is the value of the support. but if you have not paid license, the cost is the sum support + license </t>
        </r>
      </text>
    </comment>
    <comment ref="G114" authorId="1" shapeId="0" xr:uid="{F1AD0D2A-3C11-4F27-9BEF-0DB93523FFD0}">
      <text>
        <r>
          <rPr>
            <sz val="11"/>
            <color theme="1"/>
            <rFont val="Calibri"/>
            <family val="2"/>
            <scheme val="minor"/>
          </rPr>
          <t xml:space="preserve">Author:
If the license has already been paid for, the cost is the value of the support. but if you have not paid license, the cost is the sum support + license </t>
        </r>
      </text>
    </comment>
    <comment ref="C115" authorId="1" shapeId="0" xr:uid="{420A9D76-B6C3-4FEE-8D65-C019132660CA}">
      <text>
        <r>
          <rPr>
            <sz val="11"/>
            <color theme="1"/>
            <rFont val="Calibri"/>
            <family val="2"/>
            <scheme val="minor"/>
          </rPr>
          <t>Author:
IT Salary cost(year) + IT unexpected cost + Infrastructure cost + Licensing cost</t>
        </r>
      </text>
    </comment>
    <comment ref="C121" authorId="1" shapeId="0" xr:uid="{1A1BBB58-A4ED-4A46-98EF-28068DD280C5}">
      <text>
        <r>
          <rPr>
            <sz val="11"/>
            <color theme="1"/>
            <rFont val="Calibri"/>
            <family val="2"/>
            <scheme val="minor"/>
          </rPr>
          <t>Author:
Business legacy Costs total + Operational legacy cost total</t>
        </r>
      </text>
    </comment>
    <comment ref="C127" authorId="1" shapeId="0" xr:uid="{8754DCF2-63A0-42E9-9582-1C6061F420BD}">
      <text>
        <r>
          <rPr>
            <sz val="11"/>
            <color theme="1"/>
            <rFont val="Calibri"/>
            <family val="2"/>
            <scheme val="minor"/>
          </rPr>
          <t>Author:
IT Salary cost(year)*(1- increased productivity IT team)</t>
        </r>
      </text>
    </comment>
    <comment ref="C128" authorId="1" shapeId="0" xr:uid="{24C8A341-21CB-46E2-ABC1-AEC6D579C963}">
      <text>
        <r>
          <rPr>
            <sz val="11"/>
            <color theme="1"/>
            <rFont val="Calibri"/>
            <family val="2"/>
            <scheme val="minor"/>
          </rPr>
          <t>Author:
IT unexpected legacy* (1- increased productivity IT team)</t>
        </r>
      </text>
    </comment>
    <comment ref="C129" authorId="1" shapeId="0" xr:uid="{615B236A-02CC-480E-AF88-6CE35DABA16A}">
      <text>
        <r>
          <rPr>
            <b/>
            <sz val="9"/>
            <color indexed="81"/>
            <rFont val="Tahoma"/>
            <family val="2"/>
          </rPr>
          <t>Natalia Zartha Suárez:</t>
        </r>
        <r>
          <rPr>
            <sz val="9"/>
            <color indexed="81"/>
            <rFont val="Tahoma"/>
            <family val="2"/>
          </rPr>
          <t xml:space="preserve">
Infrastructure Cloud Cost (Consultant)</t>
        </r>
      </text>
    </comment>
    <comment ref="C130" authorId="1" shapeId="0" xr:uid="{716EF7BC-AE73-4FB9-A945-4562E703F3DB}">
      <text>
        <r>
          <rPr>
            <sz val="11"/>
            <color theme="1"/>
            <rFont val="Calibri"/>
            <family val="2"/>
            <scheme val="minor"/>
          </rPr>
          <t>Author:
Licensing Cloud Cost (Consultant)</t>
        </r>
      </text>
    </comment>
    <comment ref="C134" authorId="0" shapeId="0" xr:uid="{E37043A8-EA6B-498E-BF7F-DE37DD743884}">
      <text>
        <r>
          <rPr>
            <sz val="11"/>
            <color theme="1"/>
            <rFont val="Calibri"/>
            <family val="2"/>
            <scheme val="minor"/>
          </rPr>
          <t xml:space="preserve">Equation
Downtime legacy costs *(1- Increased productivity IT team)
</t>
        </r>
      </text>
    </comment>
    <comment ref="C135" authorId="1" shapeId="0" xr:uid="{B16B9B40-577D-4874-AADF-5E622C509BFB}">
      <text>
        <r>
          <rPr>
            <sz val="11"/>
            <color theme="1"/>
            <rFont val="Calibri"/>
            <family val="2"/>
            <scheme val="minor"/>
          </rPr>
          <t>Author:
Shut down legacy costs *(1- cloud availabitly per month)</t>
        </r>
      </text>
    </comment>
    <comment ref="C136" authorId="1" shapeId="0" xr:uid="{C3B7FCCD-57C5-4231-A5F0-C9AC1E4903A3}">
      <text>
        <r>
          <rPr>
            <sz val="11"/>
            <color theme="1"/>
            <rFont val="Calibri"/>
            <family val="2"/>
            <scheme val="minor"/>
          </rPr>
          <t>Author:
Downtime Cost (per month) + Shut down Cost</t>
        </r>
      </text>
    </comment>
    <comment ref="C137" authorId="1" shapeId="0" xr:uid="{484508C8-CD8E-4D6C-AC53-A36565762516}">
      <text>
        <r>
          <rPr>
            <sz val="11"/>
            <color theme="1"/>
            <rFont val="Calibri"/>
            <family val="2"/>
            <scheme val="minor"/>
          </rPr>
          <t>Author:
Operational cloud cost total + Business cloud cost total</t>
        </r>
      </text>
    </comment>
    <comment ref="C144" authorId="1" shapeId="0" xr:uid="{5D166C64-CC42-4797-9AF8-CF8804A68847}">
      <text>
        <r>
          <rPr>
            <sz val="11"/>
            <color theme="1"/>
            <rFont val="Calibri"/>
            <family val="2"/>
            <scheme val="minor"/>
          </rPr>
          <t>Author:
 (Operational Legacy cost- Operational Cloud Cost)/ Operational Legacy cost</t>
        </r>
      </text>
    </comment>
    <comment ref="C145" authorId="1" shapeId="0" xr:uid="{021EF912-EB14-4351-AB0F-45ED47E16C2D}">
      <text>
        <r>
          <rPr>
            <sz val="11"/>
            <color theme="1"/>
            <rFont val="Calibri"/>
            <family val="2"/>
            <scheme val="minor"/>
          </rPr>
          <t>Autor:
 (Total legacy Cost – Total cloud Cost)</t>
        </r>
      </text>
    </comment>
    <comment ref="C146" authorId="1" shapeId="0" xr:uid="{671DA135-D3E0-420C-8B91-A88AF3B3C4C4}">
      <text>
        <r>
          <rPr>
            <sz val="11"/>
            <color theme="1"/>
            <rFont val="Calibri"/>
            <family val="2"/>
            <scheme val="minor"/>
          </rPr>
          <t>Autor:
 (Earning from change - initial investment)/ initial investment</t>
        </r>
      </text>
    </comment>
    <comment ref="C152" authorId="1" shapeId="0" xr:uid="{B08A2C27-4D86-4143-A9A4-89F729997314}">
      <text>
        <r>
          <rPr>
            <sz val="11"/>
            <color theme="1"/>
            <rFont val="Calibri"/>
            <family val="2"/>
            <scheme val="minor"/>
          </rPr>
          <t>Author:
((cloud shut down cost*100)/legacy application shut down cost) per application</t>
        </r>
      </text>
    </comment>
    <comment ref="C153" authorId="1" shapeId="0" xr:uid="{AFE1CFE1-596C-460A-AC2E-D00C01360F46}">
      <text>
        <r>
          <rPr>
            <sz val="11"/>
            <color theme="1"/>
            <rFont val="Calibri"/>
            <family val="2"/>
            <scheme val="minor"/>
          </rPr>
          <t>Author:
(legacy application shut down cost - cloud shut down cost)</t>
        </r>
      </text>
    </comment>
    <comment ref="C154" authorId="1" shapeId="0" xr:uid="{BB6DECE2-9BB1-4DA8-9054-3097D12849A7}">
      <text>
        <r>
          <rPr>
            <sz val="11"/>
            <color theme="1"/>
            <rFont val="Calibri"/>
            <family val="2"/>
            <scheme val="minor"/>
          </rPr>
          <t>Author:
((cloud Downtime cost*100)/legacy application Downtime cost) per application</t>
        </r>
      </text>
    </comment>
    <comment ref="C155" authorId="1" shapeId="0" xr:uid="{57C6BB37-B319-42C7-9D36-14416CDEC69C}">
      <text>
        <r>
          <rPr>
            <sz val="11"/>
            <color theme="1"/>
            <rFont val="Calibri"/>
            <family val="2"/>
            <scheme val="minor"/>
          </rPr>
          <t>Author:
(Legacy application slow down cost- cloud slow down cost)</t>
        </r>
      </text>
    </comment>
    <comment ref="C157" authorId="1" shapeId="0" xr:uid="{566B9A9B-091D-4B1B-B291-7F3663A55E44}">
      <text>
        <r>
          <rPr>
            <sz val="11"/>
            <color theme="1"/>
            <rFont val="Calibri"/>
            <family val="2"/>
            <scheme val="minor"/>
          </rPr>
          <t>Author:
((cloud infrastructure cost*100)/legacy application infrastructure cost) per application</t>
        </r>
      </text>
    </comment>
    <comment ref="C158" authorId="1" shapeId="0" xr:uid="{ABDBB21B-8782-474E-8F38-0061AA64F4E3}">
      <text>
        <r>
          <rPr>
            <sz val="11"/>
            <color theme="1"/>
            <rFont val="Calibri"/>
            <family val="2"/>
            <scheme val="minor"/>
          </rPr>
          <t>Author:
(legacy application infrastucture cost - cloud infrastructure cost)</t>
        </r>
      </text>
    </comment>
    <comment ref="C159" authorId="1" shapeId="0" xr:uid="{D8FE1790-6570-428E-9BA8-A2EFA7C7B520}">
      <text>
        <r>
          <rPr>
            <sz val="11"/>
            <color theme="1"/>
            <rFont val="Calibri"/>
            <family val="2"/>
            <scheme val="minor"/>
          </rPr>
          <t>Author:
((cloud it salary cost*100)/legacy application IT salary cost)</t>
        </r>
      </text>
    </comment>
    <comment ref="C160" authorId="1" shapeId="0" xr:uid="{F97E562A-8AEE-446D-ABAD-88759FA0049B}">
      <text>
        <r>
          <rPr>
            <sz val="11"/>
            <color theme="1"/>
            <rFont val="Calibri"/>
            <family val="2"/>
            <scheme val="minor"/>
          </rPr>
          <t>Autor:
(legacy application IT salary cost - cloud it salary cost)</t>
        </r>
      </text>
    </comment>
    <comment ref="C161" authorId="1" shapeId="0" xr:uid="{C87C263C-4FFE-4302-BEC5-9AE97AE546D9}">
      <text>
        <r>
          <rPr>
            <sz val="11"/>
            <color theme="1"/>
            <rFont val="Calibri"/>
            <family val="2"/>
            <scheme val="minor"/>
          </rPr>
          <t>Author:
((cloud it unexpected cost*100)/ legacy application IT unexpected cost)</t>
        </r>
      </text>
    </comment>
    <comment ref="C162" authorId="1" shapeId="0" xr:uid="{EBFDCD7B-57CE-4D5C-8C36-36EF51C97FFC}">
      <text>
        <r>
          <rPr>
            <sz val="11"/>
            <color theme="1"/>
            <rFont val="Calibri"/>
            <family val="2"/>
            <scheme val="minor"/>
          </rPr>
          <t>Author:
(legacy application IT unexpected cost - cloud it unexpected cost)</t>
        </r>
      </text>
    </comment>
    <comment ref="C163" authorId="1" shapeId="0" xr:uid="{B576664D-CC00-42F5-A0ED-E144CF2CDDFC}">
      <text>
        <r>
          <rPr>
            <sz val="11"/>
            <color theme="1"/>
            <rFont val="Calibri"/>
            <family val="2"/>
            <scheme val="minor"/>
          </rPr>
          <t>Author:
 ((Cloud third party Cost *100)/Legacy Application third party Cost) per application</t>
        </r>
      </text>
    </comment>
    <comment ref="C164" authorId="1" shapeId="0" xr:uid="{710F6C9E-C8CA-45E3-914F-A5ED5B4FD385}">
      <text>
        <r>
          <rPr>
            <sz val="11"/>
            <color theme="1"/>
            <rFont val="Calibri"/>
            <family val="2"/>
            <scheme val="minor"/>
          </rPr>
          <t>Author:
 (Legacy Application third party Cost - Cloud third party Cost)</t>
        </r>
      </text>
    </comment>
    <comment ref="C166" authorId="1" shapeId="0" xr:uid="{BB350F4C-A65E-442F-B75A-A584224B1A95}">
      <text>
        <r>
          <rPr>
            <sz val="11"/>
            <color theme="1"/>
            <rFont val="Calibri"/>
            <family val="2"/>
            <scheme val="minor"/>
          </rPr>
          <t>Author:
Total/sum(downtime_legacy_cost_1_year;shut_down_legacy_cost_1_year;it_salary_legacy_cost_1_year;unexpected_legacy_cost_1_year)</t>
        </r>
      </text>
    </comment>
    <comment ref="C168" authorId="1" shapeId="0" xr:uid="{8F559C35-D916-4CE5-8C27-1C56929B3579}">
      <text>
        <r>
          <rPr>
            <sz val="11"/>
            <color theme="1"/>
            <rFont val="Calibri"/>
            <family val="2"/>
            <scheme val="minor"/>
          </rPr>
          <t>Author:
Total hours legacy works (mothly) * How much is the average hourly cost for the employee using the application? (USD)* Increased productivity IT team * 12 months</t>
        </r>
      </text>
    </comment>
    <comment ref="C169" authorId="1" shapeId="0" xr:uid="{D81825BA-4E35-4A1F-B575-159525647358}">
      <text>
        <r>
          <rPr>
            <sz val="11"/>
            <color theme="1"/>
            <rFont val="Calibri"/>
            <family val="2"/>
            <scheme val="minor"/>
          </rPr>
          <t>Author:
(it Salary legacy cost + it salary unexpected legacy cost)* Increased productivity IT team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Natalia Zartha Suárez</author>
  </authors>
  <commentList>
    <comment ref="C13" authorId="0" shapeId="0" xr:uid="{CB692A89-AD3F-43D6-9F5D-17971F90E6B8}">
      <text>
        <r>
          <rPr>
            <sz val="11"/>
            <color theme="1"/>
            <rFont val="Calibri"/>
            <family val="2"/>
            <scheme val="minor"/>
          </rPr>
          <t>Author:
(What would be an estimate of the how many times your application gets slow in a daily basis? (Minutes)  / 60 min) * 30 days</t>
        </r>
      </text>
    </comment>
    <comment ref="F13" authorId="0" shapeId="0" xr:uid="{E9E6B4AA-F41B-4608-B2B4-225152F54803}">
      <text>
        <r>
          <rPr>
            <sz val="11"/>
            <color theme="1"/>
            <rFont val="Calibri"/>
            <family val="2"/>
            <scheme val="minor"/>
          </rPr>
          <t>Author
=(dead_time_due_to_severe_slowness_cloud_min_per_day*30 days)/60 min</t>
        </r>
      </text>
    </comment>
    <comment ref="C14" authorId="0" shapeId="0" xr:uid="{423D1174-5BA8-468F-B416-F1895BFA3C44}">
      <text>
        <r>
          <rPr>
            <sz val="11"/>
            <color theme="1"/>
            <rFont val="Calibri"/>
            <family val="2"/>
            <scheme val="minor"/>
          </rPr>
          <t>Author:
(What would be an estimate of how many times your application gets shut down in a weekly basis?  (Minutes) / 60min)  * 4 weeks</t>
        </r>
      </text>
    </comment>
    <comment ref="F14" authorId="0" shapeId="0" xr:uid="{0AAFD8B5-72D5-49EC-8B3F-1D83CB7861CC}">
      <text>
        <r>
          <rPr>
            <sz val="11"/>
            <color theme="1"/>
            <rFont val="Calibri"/>
            <family val="2"/>
            <scheme val="minor"/>
          </rPr>
          <t xml:space="preserve">Author:
=(total_dead_time_cloud_min_per_day*30 days)/60min
</t>
        </r>
      </text>
    </comment>
    <comment ref="C15" authorId="0" shapeId="0" xr:uid="{57DB5383-74CF-42AF-97ED-1DC6316FED55}">
      <text>
        <r>
          <rPr>
            <sz val="11"/>
            <color theme="1"/>
            <rFont val="Calibri"/>
            <family val="2"/>
            <scheme val="minor"/>
          </rPr>
          <t>Author:
How many are the standard working hours allowed in the country of origin of the application per day?</t>
        </r>
      </text>
    </comment>
    <comment ref="C16" authorId="0" shapeId="0" xr:uid="{23119896-D4DB-4C41-AD24-F7BACC6B5699}">
      <text>
        <r>
          <rPr>
            <sz val="11"/>
            <color theme="1"/>
            <rFont val="Calibri"/>
            <family val="2"/>
            <scheme val="minor"/>
          </rPr>
          <t>Author:
(people use the application * woring hours * 20 days )-  (people use the app *(slowdown hours + shutdown hours))</t>
        </r>
      </text>
    </comment>
    <comment ref="C17" authorId="0" shapeId="0" xr:uid="{DA4068E6-CAF7-4E5B-89BE-38FEB4FC25A5}">
      <text>
        <r>
          <rPr>
            <sz val="11"/>
            <color theme="1"/>
            <rFont val="Calibri"/>
            <family val="2"/>
            <scheme val="minor"/>
          </rPr>
          <t>Author:
How many people use the application? * daily hours  * 20 days</t>
        </r>
      </text>
    </comment>
    <comment ref="C22" authorId="0" shapeId="0" xr:uid="{10776477-9C91-4596-A568-F85D7BB01646}">
      <text>
        <r>
          <rPr>
            <sz val="11"/>
            <color theme="1"/>
            <rFont val="Calibri"/>
            <family val="2"/>
            <scheme val="minor"/>
          </rPr>
          <t xml:space="preserve">Author:
Actual cloud productivity - Actual legacy productivity </t>
        </r>
      </text>
    </comment>
    <comment ref="C23" authorId="0" shapeId="0" xr:uid="{93DC863C-941A-4413-8011-8ACF59123412}">
      <text>
        <r>
          <rPr>
            <sz val="11"/>
            <color theme="1"/>
            <rFont val="Calibri"/>
            <family val="2"/>
            <scheme val="minor"/>
          </rPr>
          <t>Author:
Total hours legacy works (monthly) * How much is the average hourly cost for the employee using the application? (USD)* Increased productivity IT team * 12 months</t>
        </r>
      </text>
    </comment>
    <comment ref="C24" authorId="0" shapeId="0" xr:uid="{87EFB5E9-2B13-42B0-AB20-A6C7919A850B}">
      <text>
        <r>
          <rPr>
            <sz val="11"/>
            <color theme="1"/>
            <rFont val="Calibri"/>
            <family val="2"/>
            <scheme val="minor"/>
          </rPr>
          <t>Author:
(it Salary legacy cost + it salary unexpected legacy cost)* Increased productivity IT team</t>
        </r>
      </text>
    </comment>
    <comment ref="C25" authorId="0" shapeId="0" xr:uid="{AE34312D-E487-4414-9732-E22306D05696}">
      <text>
        <r>
          <rPr>
            <sz val="11"/>
            <color theme="1"/>
            <rFont val="Calibri"/>
            <family val="2"/>
            <scheme val="minor"/>
          </rPr>
          <t>Author:
Saving money + saving money it operation</t>
        </r>
      </text>
    </comment>
    <comment ref="C26" authorId="0" shapeId="0" xr:uid="{4BD0FA52-FEAE-4345-9022-0B1BC4ADAB81}">
      <text>
        <r>
          <rPr>
            <sz val="11"/>
            <color theme="1"/>
            <rFont val="Calibri"/>
            <family val="2"/>
            <scheme val="minor"/>
          </rPr>
          <t>Author:
(legacy application infrastucture cost - cloud infrastructure cost)</t>
        </r>
      </text>
    </comment>
    <comment ref="C29" authorId="0" shapeId="0" xr:uid="{69C44B5A-20BF-4415-ABA6-17BA9B643D2A}">
      <text>
        <r>
          <rPr>
            <sz val="11"/>
            <color theme="1"/>
            <rFont val="Calibri"/>
            <family val="2"/>
            <scheme val="minor"/>
          </rPr>
          <t>Author:
Total/sum(downtime_legacy_cost_1_year;shut_down_legacy_cost_1_year;it_salary_legacy_cost_1_year;unexpected_legacy_cost_1_year)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Natalia Zartha Suárez</author>
  </authors>
  <commentList>
    <comment ref="C13" authorId="0" shapeId="0" xr:uid="{428B4DF8-E541-477F-A555-8D8C25FCF0FD}">
      <text>
        <r>
          <rPr>
            <b/>
            <sz val="9"/>
            <color indexed="81"/>
            <rFont val="Tahoma"/>
            <family val="2"/>
          </rPr>
          <t>Natalia Zartha Suárez:</t>
        </r>
        <r>
          <rPr>
            <sz val="9"/>
            <color indexed="81"/>
            <rFont val="Tahoma"/>
            <family val="2"/>
          </rPr>
          <t xml:space="preserve">
Total Business Costs </t>
        </r>
      </text>
    </comment>
    <comment ref="C14" authorId="0" shapeId="0" xr:uid="{CCD07DE0-DFD0-42D8-BE66-D719468438F0}">
      <text>
        <r>
          <rPr>
            <b/>
            <sz val="9"/>
            <color indexed="81"/>
            <rFont val="Tahoma"/>
            <family val="2"/>
          </rPr>
          <t>Natalia Zartha Suárez:</t>
        </r>
        <r>
          <rPr>
            <sz val="9"/>
            <color indexed="81"/>
            <rFont val="Tahoma"/>
            <family val="2"/>
          </rPr>
          <t xml:space="preserve">
Operational Legacy cost</t>
        </r>
      </text>
    </comment>
    <comment ref="C15" authorId="0" shapeId="0" xr:uid="{B41C7B22-2BA3-4622-B844-3E84DDC9806E}">
      <text>
        <r>
          <rPr>
            <b/>
            <sz val="9"/>
            <color indexed="81"/>
            <rFont val="Tahoma"/>
            <family val="2"/>
          </rPr>
          <t>Natalia Zartha Suárez:</t>
        </r>
        <r>
          <rPr>
            <sz val="9"/>
            <color indexed="81"/>
            <rFont val="Tahoma"/>
            <family val="2"/>
          </rPr>
          <t xml:space="preserve">
Operational Legacy cost + Business Costs Total</t>
        </r>
      </text>
    </comment>
    <comment ref="C16" authorId="0" shapeId="0" xr:uid="{7DFDAEFD-8AD4-4D45-B857-33E1BD3C2E8F}">
      <text>
        <r>
          <rPr>
            <b/>
            <sz val="9"/>
            <color indexed="81"/>
            <rFont val="Tahoma"/>
            <family val="2"/>
          </rPr>
          <t>Natalia Zartha Suárez:</t>
        </r>
        <r>
          <rPr>
            <sz val="9"/>
            <color indexed="81"/>
            <rFont val="Tahoma"/>
            <family val="2"/>
          </rPr>
          <t xml:space="preserve">
Capital Cloud Cost</t>
        </r>
      </text>
    </comment>
    <comment ref="C17" authorId="0" shapeId="0" xr:uid="{E2FDC419-C286-48A9-BD33-77312116BCE3}">
      <text>
        <r>
          <rPr>
            <b/>
            <sz val="9"/>
            <color indexed="81"/>
            <rFont val="Tahoma"/>
            <family val="2"/>
          </rPr>
          <t>Natalia Zartha Suárez:</t>
        </r>
        <r>
          <rPr>
            <sz val="9"/>
            <color indexed="81"/>
            <rFont val="Tahoma"/>
            <family val="2"/>
          </rPr>
          <t xml:space="preserve">
Operational Cloud Cost</t>
        </r>
      </text>
    </comment>
    <comment ref="C23" authorId="0" shapeId="0" xr:uid="{04EAEF0E-C21D-4452-897E-E3007F3C0835}">
      <text>
        <r>
          <rPr>
            <b/>
            <sz val="9"/>
            <color indexed="81"/>
            <rFont val="Tahoma"/>
            <family val="2"/>
          </rPr>
          <t>Natalia Zartha Suárez:</t>
        </r>
        <r>
          <rPr>
            <sz val="9"/>
            <color indexed="81"/>
            <rFont val="Tahoma"/>
            <family val="2"/>
          </rPr>
          <t xml:space="preserve">
Capital Cloud Cost</t>
        </r>
      </text>
    </comment>
    <comment ref="C24" authorId="0" shapeId="0" xr:uid="{13250A62-4153-444E-BB1E-449C84AD04B4}">
      <text>
        <r>
          <rPr>
            <b/>
            <sz val="9"/>
            <color indexed="81"/>
            <rFont val="Tahoma"/>
            <family val="2"/>
          </rPr>
          <t>Natalia Zartha Suárez:</t>
        </r>
        <r>
          <rPr>
            <sz val="9"/>
            <color indexed="81"/>
            <rFont val="Tahoma"/>
            <family val="2"/>
          </rPr>
          <t xml:space="preserve">
Business Costs Total</t>
        </r>
      </text>
    </comment>
    <comment ref="C25" authorId="0" shapeId="0" xr:uid="{47120687-7BB6-42DE-8C6D-9141190465F4}">
      <text>
        <r>
          <rPr>
            <b/>
            <sz val="9"/>
            <color indexed="81"/>
            <rFont val="Tahoma"/>
            <family val="2"/>
          </rPr>
          <t>Natalia Zartha Suárez:</t>
        </r>
        <r>
          <rPr>
            <sz val="9"/>
            <color indexed="81"/>
            <rFont val="Tahoma"/>
            <family val="2"/>
          </rPr>
          <t xml:space="preserve">
Operational Cloud Cost</t>
        </r>
      </text>
    </comment>
    <comment ref="C26" authorId="0" shapeId="0" xr:uid="{CED789C2-8D5B-49BE-A753-4E338F2CDCEA}">
      <text>
        <r>
          <rPr>
            <b/>
            <sz val="9"/>
            <color indexed="81"/>
            <rFont val="Tahoma"/>
            <family val="2"/>
          </rPr>
          <t>Natalia Zartha Suárez:</t>
        </r>
        <r>
          <rPr>
            <sz val="9"/>
            <color indexed="81"/>
            <rFont val="Tahoma"/>
            <family val="2"/>
          </rPr>
          <t xml:space="preserve">
Operational Legacy cost</t>
        </r>
      </text>
    </comment>
    <comment ref="C30" authorId="0" shapeId="0" xr:uid="{9C6F7FE6-2E6C-463B-9CF3-E014A84E26C6}">
      <text>
        <r>
          <rPr>
            <b/>
            <sz val="9"/>
            <color indexed="81"/>
            <rFont val="Tahoma"/>
            <family val="2"/>
          </rPr>
          <t>Natalia Zartha Suárez:</t>
        </r>
        <r>
          <rPr>
            <sz val="9"/>
            <color indexed="81"/>
            <rFont val="Tahoma"/>
            <family val="2"/>
          </rPr>
          <t xml:space="preserve">
Business Costs Total</t>
        </r>
      </text>
    </comment>
    <comment ref="C31" authorId="0" shapeId="0" xr:uid="{54EB5311-0750-48A9-A893-04F50A024F5A}">
      <text>
        <r>
          <rPr>
            <b/>
            <sz val="9"/>
            <color indexed="81"/>
            <rFont val="Tahoma"/>
            <family val="2"/>
          </rPr>
          <t>Natalia Zartha Suárez:</t>
        </r>
        <r>
          <rPr>
            <sz val="9"/>
            <color indexed="81"/>
            <rFont val="Tahoma"/>
            <family val="2"/>
          </rPr>
          <t xml:space="preserve">
Capital Cloud Cost</t>
        </r>
      </text>
    </comment>
    <comment ref="C32" authorId="0" shapeId="0" xr:uid="{71A3DAED-9862-4FF2-8664-E37DF06B589F}">
      <text>
        <r>
          <rPr>
            <b/>
            <sz val="9"/>
            <color indexed="81"/>
            <rFont val="Tahoma"/>
            <family val="2"/>
          </rPr>
          <t>Natalia Zartha Suárez:</t>
        </r>
        <r>
          <rPr>
            <sz val="9"/>
            <color indexed="81"/>
            <rFont val="Tahoma"/>
            <family val="2"/>
          </rPr>
          <t xml:space="preserve">
Operational Legacy cost</t>
        </r>
      </text>
    </comment>
    <comment ref="C33" authorId="0" shapeId="0" xr:uid="{C595B7FD-4D57-4F71-BAEA-3D83A36ECEB8}">
      <text>
        <r>
          <rPr>
            <b/>
            <sz val="9"/>
            <color indexed="81"/>
            <rFont val="Tahoma"/>
            <family val="2"/>
          </rPr>
          <t>Natalia Zartha Suárez:</t>
        </r>
        <r>
          <rPr>
            <sz val="9"/>
            <color indexed="81"/>
            <rFont val="Tahoma"/>
            <family val="2"/>
          </rPr>
          <t xml:space="preserve">
Operational Cloud Cost</t>
        </r>
      </text>
    </comment>
    <comment ref="C39" authorId="0" shapeId="0" xr:uid="{6E87D921-B512-48FC-92D0-575AC9226632}">
      <text>
        <r>
          <rPr>
            <b/>
            <sz val="9"/>
            <color indexed="81"/>
            <rFont val="Tahoma"/>
            <family val="2"/>
          </rPr>
          <t>Natalia Zartha Suárez:</t>
        </r>
        <r>
          <rPr>
            <sz val="9"/>
            <color indexed="81"/>
            <rFont val="Tahoma"/>
            <family val="2"/>
          </rPr>
          <t xml:space="preserve">
(Sum of Total legacy Cost – Sum of Total Cloud Cost)</t>
        </r>
      </text>
    </comment>
    <comment ref="C40" authorId="0" shapeId="0" xr:uid="{2C460A9A-8F7E-4B16-A201-18312B89464D}">
      <text>
        <r>
          <rPr>
            <b/>
            <sz val="9"/>
            <color indexed="81"/>
            <rFont val="Tahoma"/>
            <family val="2"/>
          </rPr>
          <t>Natalia Zartha Suárez:</t>
        </r>
        <r>
          <rPr>
            <sz val="9"/>
            <color indexed="81"/>
            <rFont val="Tahoma"/>
            <family val="2"/>
          </rPr>
          <t xml:space="preserve">
initial investment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Natalia Zartha Suárez</author>
  </authors>
  <commentList>
    <comment ref="I16" authorId="0" shapeId="0" xr:uid="{C1F0A315-2908-428C-BC6F-07915D91C150}">
      <text>
        <r>
          <rPr>
            <sz val="11"/>
            <color theme="1"/>
            <rFont val="Calibri"/>
            <family val="2"/>
            <scheme val="minor"/>
          </rPr>
          <t>Author:
ROIn - abs(ROIn-1)</t>
        </r>
      </text>
    </comment>
    <comment ref="C17" authorId="0" shapeId="0" xr:uid="{F7748B28-09DD-401F-AD97-3356C20EC21F}">
      <text>
        <r>
          <rPr>
            <sz val="11"/>
            <color theme="1"/>
            <rFont val="Calibri"/>
            <family val="2"/>
            <scheme val="minor"/>
          </rPr>
          <t>Author:
 (Earning from change (year 1) - initial investment)/ initial investment</t>
        </r>
      </text>
    </comment>
    <comment ref="C18" authorId="0" shapeId="0" xr:uid="{51727530-91D1-4FB3-80D6-1A74E1D613C0}">
      <text>
        <r>
          <rPr>
            <sz val="11"/>
            <color theme="1"/>
            <rFont val="Calibri"/>
            <family val="2"/>
            <scheme val="minor"/>
          </rPr>
          <t>Author:
 (Earning from change (year 3) - initial investment)/ initial investment</t>
        </r>
      </text>
    </comment>
    <comment ref="I18" authorId="0" shapeId="0" xr:uid="{F0F0A940-8A5D-4A61-95D7-C36E380DD9B7}">
      <text>
        <r>
          <rPr>
            <sz val="11"/>
            <color theme="1"/>
            <rFont val="Calibri"/>
            <family val="2"/>
            <scheme val="minor"/>
          </rPr>
          <t>Author:
Total Cloud Costs</t>
        </r>
      </text>
    </comment>
    <comment ref="I19" authorId="0" shapeId="0" xr:uid="{E4CEA3F0-5C10-4875-9759-116CBECDEE94}">
      <text>
        <r>
          <rPr>
            <sz val="11"/>
            <color theme="1"/>
            <rFont val="Calibri"/>
            <family val="2"/>
            <scheme val="minor"/>
          </rPr>
          <t>Author:
(initial investment/ Earning from change)</t>
        </r>
      </text>
    </comment>
    <comment ref="I20" authorId="0" shapeId="0" xr:uid="{6021168C-FD9C-4DC6-81F2-BBA254357346}">
      <text>
        <r>
          <rPr>
            <sz val="11"/>
            <color theme="1"/>
            <rFont val="Calibri"/>
            <family val="2"/>
            <scheme val="minor"/>
          </rPr>
          <t>Author:
(Sum of Total legacy Cost – Sum of Total Cloud Cost)</t>
        </r>
      </text>
    </comment>
    <comment ref="C21" authorId="0" shapeId="0" xr:uid="{4F9C78AD-E3DC-429D-A92B-94696414EF3D}">
      <text>
        <r>
          <rPr>
            <sz val="11"/>
            <color theme="1"/>
            <rFont val="Calibri"/>
            <family val="2"/>
            <scheme val="minor"/>
          </rPr>
          <t>Author:
(initial investment/ Earning from change (2 year))</t>
        </r>
      </text>
    </comment>
    <comment ref="C22" authorId="0" shapeId="0" xr:uid="{084BE974-CD4F-4C8E-9109-FD685F8E6A97}">
      <text>
        <r>
          <rPr>
            <sz val="11"/>
            <color theme="1"/>
            <rFont val="Calibri"/>
            <family val="2"/>
            <scheme val="minor"/>
          </rPr>
          <t>Author:
(initial investment/ Earning from change (3 year)
)</t>
        </r>
      </text>
    </comment>
    <comment ref="C23" authorId="0" shapeId="0" xr:uid="{28FD8F6F-31A1-4C64-BD89-AB9F2C2C1D58}">
      <text>
        <r>
          <rPr>
            <b/>
            <sz val="9"/>
            <color indexed="81"/>
            <rFont val="Tahoma"/>
            <family val="2"/>
          </rPr>
          <t>Natalia Zartha Suárez:</t>
        </r>
        <r>
          <rPr>
            <sz val="9"/>
            <color indexed="81"/>
            <rFont val="Tahoma"/>
            <family val="2"/>
          </rPr>
          <t xml:space="preserve">
(Sum of Total legacy Cost – Sum of Total Cloud Cost)</t>
        </r>
      </text>
    </comment>
    <comment ref="C34" authorId="0" shapeId="0" xr:uid="{D7838C0F-7BD9-4DD4-B44F-5BB12AE60BFA}">
      <text>
        <r>
          <rPr>
            <sz val="11"/>
            <color theme="1"/>
            <rFont val="Calibri"/>
            <family val="2"/>
            <scheme val="minor"/>
          </rPr>
          <t>Author:
This is the cost of the refactor or the replatform.
To calculate implementation effort use the Refactor or Replatform estimation template found in the AMD Service</t>
        </r>
      </text>
    </comment>
    <comment ref="E34" authorId="0" shapeId="0" xr:uid="{B9E20105-0331-4111-A008-E0470ABD8AD0}">
      <text>
        <r>
          <rPr>
            <sz val="11"/>
            <color theme="1"/>
            <rFont val="Calibri"/>
            <family val="2"/>
            <scheme val="minor"/>
          </rPr>
          <t>Author:
(total_legacy_cost_1_year/12)*number_of_months_of_implementation</t>
        </r>
      </text>
    </comment>
    <comment ref="C38" authorId="0" shapeId="0" xr:uid="{3DC0C0D5-A058-46C5-AA4C-8420E2BD8AC4}">
      <text>
        <r>
          <rPr>
            <sz val="11"/>
            <color theme="1"/>
            <rFont val="Calibri"/>
            <family val="2"/>
            <scheme val="minor"/>
          </rPr>
          <t>Author:
This is the cost of the refactor or the replatform
To calculate implementation effort use the Refactor or Replatform estimation template found in the AMD Service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<sst xmlns="http://schemas.openxmlformats.org/spreadsheetml/2006/main" count="625" uniqueCount="328">
  <si>
    <t>Advisory Services</t>
  </si>
  <si>
    <t>General Information</t>
  </si>
  <si>
    <t>In this section you will answer questions associated with general data of your organization</t>
  </si>
  <si>
    <t>Company name?</t>
  </si>
  <si>
    <t>Email address</t>
  </si>
  <si>
    <t>How many apps do you want to analyze?</t>
  </si>
  <si>
    <t>Name(s) of the application in the other you want them to be analize</t>
  </si>
  <si>
    <t xml:space="preserve">  </t>
  </si>
  <si>
    <t>What do you think are the main reasons with your clients make complaints or calims?</t>
  </si>
  <si>
    <t>Performance</t>
  </si>
  <si>
    <t>Data Corruption</t>
  </si>
  <si>
    <t xml:space="preserve">Secutiry </t>
  </si>
  <si>
    <t>Outages-Connections dropping</t>
  </si>
  <si>
    <t>Others</t>
  </si>
  <si>
    <t>Operational Cost</t>
  </si>
  <si>
    <t>Salary Cost</t>
  </si>
  <si>
    <t>In this section you will answer questions associated with the salary cost that are related to the application you want to modernize</t>
  </si>
  <si>
    <t>Application name</t>
  </si>
  <si>
    <t>On average how many IT employees do you have for this application?</t>
  </si>
  <si>
    <t>How many hours of application evolution do you invest in this application per year?</t>
  </si>
  <si>
    <t>On average how much is the cost of an IT employee ? (Monthly)</t>
  </si>
  <si>
    <t>How much is the average hourly cost for the employee using the application? (USD)</t>
  </si>
  <si>
    <t>How many concurrent users use the application?</t>
  </si>
  <si>
    <t>IT Unexpected Cost</t>
  </si>
  <si>
    <t>In this section you will answer questions related to costs of repair and extra maintenance of the application to be modernized</t>
  </si>
  <si>
    <t>How much is your annual repair costs?</t>
  </si>
  <si>
    <t>How much is your annual extra support costs?</t>
  </si>
  <si>
    <t>Infrastructure Cost</t>
  </si>
  <si>
    <t>In this section you will answer question to Infrastructure costs of the application to be modernized</t>
  </si>
  <si>
    <t>What type of infrastructure does the application you want to modernize use?</t>
  </si>
  <si>
    <t xml:space="preserve">On Premise </t>
  </si>
  <si>
    <t>Third Party Data Center</t>
  </si>
  <si>
    <t>Infrastructure as a Service</t>
  </si>
  <si>
    <t>On-Premise</t>
  </si>
  <si>
    <t xml:space="preserve">Please provide the date on which these servers were purchased (dd/mm/yyyy) </t>
  </si>
  <si>
    <t>Please provide the brand and series of servers you currently use</t>
  </si>
  <si>
    <t>Please provide the estimated date for the infrastructure renewal (dd/mm/yyyy)</t>
  </si>
  <si>
    <t>Please provide how much money you have planned to invest for the next infraestructure renovation?</t>
  </si>
  <si>
    <t>Please provide the consolidated cost of the infrastructure with depreciation per year</t>
  </si>
  <si>
    <t>Please provide the annual fee of this infrastructure</t>
  </si>
  <si>
    <t>IaaS</t>
  </si>
  <si>
    <t>License Cost</t>
  </si>
  <si>
    <t>In this section you will answer question related to the cost of licensing the application you want to modernize</t>
  </si>
  <si>
    <t>What type of License does the application you want to modernize use?</t>
  </si>
  <si>
    <t>Subscription</t>
  </si>
  <si>
    <t>Own License</t>
  </si>
  <si>
    <t>How often do you pay this amount per year?</t>
  </si>
  <si>
    <t>How much is the value of your subscription?</t>
  </si>
  <si>
    <t>Own license</t>
  </si>
  <si>
    <t>When will be license expire?  (dd/mm/yyyy)</t>
  </si>
  <si>
    <t>Please answer when the next license purchase will be? (dd/mm/yyyy)</t>
  </si>
  <si>
    <t>Please answer how much was the purchase cost?</t>
  </si>
  <si>
    <t>How much is the support cost for your own license?</t>
  </si>
  <si>
    <t>How often do you pay the support cost for your own license) (dd/mm/yyyy)</t>
  </si>
  <si>
    <t>Business Cost</t>
  </si>
  <si>
    <t>Slow application and Shut down</t>
  </si>
  <si>
    <t>In this section you will answer questions related to the cost of performance of the application you want to modernize</t>
  </si>
  <si>
    <t>What would be an estimate of the how many times your application gets slow in a daily basis? (Minutes)</t>
  </si>
  <si>
    <t>What is the inflation rate managed in the original country of the application?</t>
  </si>
  <si>
    <t>What would be an estimate of how many times your application gets shut down in a weekly basis?  (Minutes)</t>
  </si>
  <si>
    <t>What is the current rate of return on investment of the company? [%](optional)</t>
  </si>
  <si>
    <t>What is the current return of investment of the company? [money] (optional)</t>
  </si>
  <si>
    <t>How many are the standard working hours allowed in the country of origin of the application per day?</t>
  </si>
  <si>
    <t>Analysis</t>
  </si>
  <si>
    <t>Current day (dd/mm/yyyy)</t>
  </si>
  <si>
    <t>Rate of inflation</t>
  </si>
  <si>
    <t>Days of the month</t>
  </si>
  <si>
    <t>Months of year</t>
  </si>
  <si>
    <t>Initial Investment (Coexistence months between Legacy and Cloud)</t>
  </si>
  <si>
    <t>(Coexistence ) Number of Months to have both environment (On-Premise and Cloud)</t>
  </si>
  <si>
    <t>Consultant - Information Costs</t>
  </si>
  <si>
    <t>Legacy Information</t>
  </si>
  <si>
    <t>Number of dead seconds per minute (Shutdown) [seconds per day]</t>
  </si>
  <si>
    <t>Dead time due to normal slowness (Slowdown) [min per day]</t>
  </si>
  <si>
    <t>Cloud Cost</t>
  </si>
  <si>
    <t>IT Operational productivity</t>
  </si>
  <si>
    <t xml:space="preserve">Number of months of implementation </t>
  </si>
  <si>
    <t>Infrastructure Cloud Cost (1st year)</t>
  </si>
  <si>
    <t>Licensing Cloud Cost (1st year)</t>
  </si>
  <si>
    <t>Cloud availability [monthly]</t>
  </si>
  <si>
    <t>Dead time due to severe slowness (Slowdown) [min per day]</t>
  </si>
  <si>
    <t>Total Dead Time (Shutdown)  [min per day]</t>
  </si>
  <si>
    <t>It Salary Cost</t>
  </si>
  <si>
    <t xml:space="preserve">IT salary </t>
  </si>
  <si>
    <t>Formula</t>
  </si>
  <si>
    <t>Annual costs [$]</t>
  </si>
  <si>
    <t>Legacy</t>
  </si>
  <si>
    <t>IT salary cost (monthly)</t>
  </si>
  <si>
    <t>Number of IT Employees of the application *Average Cost of an IT employee</t>
  </si>
  <si>
    <t>IT Salary cost(year)</t>
  </si>
  <si>
    <t>IT salary cost (Monthly)* 12</t>
  </si>
  <si>
    <t>Cloud</t>
  </si>
  <si>
    <t>IT salary cost cloud (monthly)</t>
  </si>
  <si>
    <t>IT salary legacy cost (Monthly)* (1-increased productivity IT team)</t>
  </si>
  <si>
    <t>IT salary cost cloud (year)</t>
  </si>
  <si>
    <t>IT Salary legacy cost(year) *(1- increased productivity IT team)</t>
  </si>
  <si>
    <t>Infrastructure Costs</t>
  </si>
  <si>
    <t>Infrastructure</t>
  </si>
  <si>
    <t>On-Premise- Invest</t>
  </si>
  <si>
    <t>On-Premise- operation</t>
  </si>
  <si>
    <t>Thrid Party</t>
  </si>
  <si>
    <t>Total Legacy Infrastruture</t>
  </si>
  <si>
    <t>Infrastructure cost</t>
  </si>
  <si>
    <t>Consultant</t>
  </si>
  <si>
    <t>Licensing Costs</t>
  </si>
  <si>
    <t xml:space="preserve">Licensing </t>
  </si>
  <si>
    <t>2nd year</t>
  </si>
  <si>
    <t>3rd year</t>
  </si>
  <si>
    <t>Ofter amount per year*subscription value</t>
  </si>
  <si>
    <t>Purchase cost +  support cost</t>
  </si>
  <si>
    <t>Total licensing legacy costs</t>
  </si>
  <si>
    <t xml:space="preserve">Licensing cost </t>
  </si>
  <si>
    <t>Business Costs</t>
  </si>
  <si>
    <t>Summary</t>
  </si>
  <si>
    <t>Number of minutes slowness = What would be an estimate of the how many times your application gets slow in a daily basis? (Minutes)</t>
  </si>
  <si>
    <t>Normal Slow Dead Time =  What would be an estimate of the how many times your application gets slow in a daily basis? (Minutes)</t>
  </si>
  <si>
    <t>Slow &amp; Shut down application costs</t>
  </si>
  <si>
    <t>Monthly Costs [$]</t>
  </si>
  <si>
    <t xml:space="preserve">Dead time due to severe slowness (min per day) </t>
  </si>
  <si>
    <t>Number of minutes slowness *( number of dead seconds per minute/60 seconds)).</t>
  </si>
  <si>
    <t xml:space="preserve">Total Dead Time  (min per day) </t>
  </si>
  <si>
    <t>Severe Slow Dead Time + Normal Slow Dead Time</t>
  </si>
  <si>
    <t>Downtime (Slow down) Cost (per month)</t>
  </si>
  <si>
    <t>((Number of people using the application * Total downtime due to slowness) / 60 * average cost per hour employee using the application) * 30</t>
  </si>
  <si>
    <t>Shut down Cost (per month)</t>
  </si>
  <si>
    <t>Number of people who work in the app * hourly value of the employee who works in the app * (time offline / 60 seconds) * 4</t>
  </si>
  <si>
    <t>Business Legacy Costs Total (Capex)</t>
  </si>
  <si>
    <t>Downtime cost + shut down</t>
  </si>
  <si>
    <t>Downtime legacy cost *(1- Increased productivity IT team)</t>
  </si>
  <si>
    <t>Shut down cost * (1-Cloud availability per month)</t>
  </si>
  <si>
    <t>Business Cloud Costs Total (Capex)</t>
  </si>
  <si>
    <t>Summary Legacy Costs</t>
  </si>
  <si>
    <t>Costs\Years</t>
  </si>
  <si>
    <t>1 [$]</t>
  </si>
  <si>
    <t>2 [$]</t>
  </si>
  <si>
    <t>3 [$]</t>
  </si>
  <si>
    <t>IT salary cost</t>
  </si>
  <si>
    <t>IT unexpected cost</t>
  </si>
  <si>
    <t>Repair costs+extrac support costs</t>
  </si>
  <si>
    <t xml:space="preserve">Infrastructure costs </t>
  </si>
  <si>
    <t xml:space="preserve">Licensing costs </t>
  </si>
  <si>
    <t>Operational Legacy Cost Total (Opex)</t>
  </si>
  <si>
    <t>IT Salary cost(year) + IT unexpected cost + Infrastructure cost + Licensing cost</t>
  </si>
  <si>
    <t>NPV (Net Present Value)</t>
  </si>
  <si>
    <t>Downtime Cost (per year)</t>
  </si>
  <si>
    <t>Shut down Cost  (per year)</t>
  </si>
  <si>
    <t>Business Costs Legacy Total (Capex)</t>
  </si>
  <si>
    <t>Total Legacy Costs</t>
  </si>
  <si>
    <t>Business legacy Costs total + Operational legacy cost total</t>
  </si>
  <si>
    <t>Summary Cloud Costs</t>
  </si>
  <si>
    <t>IT Salary cost(year)*(1- increased productivity IT team)</t>
  </si>
  <si>
    <t>IT unexpected legacy* (1- increased productivity IT team)</t>
  </si>
  <si>
    <t>Infrastructure Cloud Cost (Consultant)</t>
  </si>
  <si>
    <t>Licensing costs</t>
  </si>
  <si>
    <t>Licensing Cloud Cost (Consultant)</t>
  </si>
  <si>
    <t>Operational Cloud Cost (Opex)</t>
  </si>
  <si>
    <t>Business Costs cloud</t>
  </si>
  <si>
    <t>Downtime legacy costs *(1- Increased productivity IT team)</t>
  </si>
  <si>
    <t>Shut down Cost (per year)</t>
  </si>
  <si>
    <t>Shut down legacy costs *(1- cloud availabitly per month)</t>
  </si>
  <si>
    <t>Downtime Cost (per month) + Shut down Cost</t>
  </si>
  <si>
    <t>Total Cloud Costs</t>
  </si>
  <si>
    <t>Operational cloud cost total + Business cloud cost total</t>
  </si>
  <si>
    <t>Saving Costs</t>
  </si>
  <si>
    <t xml:space="preserve">  Savings\Years</t>
  </si>
  <si>
    <t>1</t>
  </si>
  <si>
    <t>2</t>
  </si>
  <si>
    <t>3</t>
  </si>
  <si>
    <t>Savings in operational expenditures [%]</t>
  </si>
  <si>
    <t xml:space="preserve"> (Operational Legacy cost- Operational Cloud Cost)/ Operational Legacy cost</t>
  </si>
  <si>
    <t>Earning from change [$]</t>
  </si>
  <si>
    <t xml:space="preserve"> (Total legacy Cost – Total cloud Cost)</t>
  </si>
  <si>
    <t>ROI [%]</t>
  </si>
  <si>
    <t xml:space="preserve"> (Earning from change - initial investment)/ initial investment</t>
  </si>
  <si>
    <t>Saving Costs\Years</t>
  </si>
  <si>
    <t>Modernize with optimal benefits - Business Costs</t>
  </si>
  <si>
    <t>Saving in application shut down cost [%]</t>
  </si>
  <si>
    <t>((cloud shut down cost*100)/legacy application shut down cost) per application</t>
  </si>
  <si>
    <t>Saving in application shut down cost [$]</t>
  </si>
  <si>
    <t>(legacy application shut down cost - cloud shut down cost)</t>
  </si>
  <si>
    <t>Saving in application slow down cost [%]</t>
  </si>
  <si>
    <t>((cloud Downtime cost*100)/legacy application Downtime cost) per application</t>
  </si>
  <si>
    <t>Saving in application slow down cost [$]</t>
  </si>
  <si>
    <t>(Legacy application slow down cost- cloud slow down cost)</t>
  </si>
  <si>
    <t>Modernize with optimal benefits - Operational costs</t>
  </si>
  <si>
    <t>Saving in infrastructure cost [%]</t>
  </si>
  <si>
    <t>((cloud infrastructure cost*100)/legacy application infrastructure cost) per application</t>
  </si>
  <si>
    <t>Saving in infrastructure cost [$]</t>
  </si>
  <si>
    <t>(legacy application infrastucture cost - cloud infrastructure cost)</t>
  </si>
  <si>
    <t>Saving in IT Salary cost [%]</t>
  </si>
  <si>
    <t>((cloud it salary cost*100)/legacy application IT salary cost)</t>
  </si>
  <si>
    <t>Saving in IT salary cost [$]</t>
  </si>
  <si>
    <t>(legacy application IT salary cost - cloud it salary cost)</t>
  </si>
  <si>
    <t>Saving in IT unexpected cost [%]</t>
  </si>
  <si>
    <t>((cloud it unexpected cost*100)/ legacy application IT unexpected cost)</t>
  </si>
  <si>
    <t>Saving in IT unexpected cost [$]</t>
  </si>
  <si>
    <t>(legacy application IT unexpected cost - cloud it unexpected cost)</t>
  </si>
  <si>
    <t>Saving in Licensing third party Cost [%]</t>
  </si>
  <si>
    <t>Saving in Licensing third party Cost [$]</t>
  </si>
  <si>
    <t>Productivity</t>
  </si>
  <si>
    <t>Saving money due to improvements in productivity IT team [%]</t>
  </si>
  <si>
    <r>
      <t>Total savings due to improvements in productivity</t>
    </r>
    <r>
      <rPr>
        <sz val="12"/>
        <color theme="1"/>
        <rFont val="Montserrat"/>
      </rPr>
      <t xml:space="preserve"> </t>
    </r>
    <r>
      <rPr>
        <sz val="12"/>
        <color theme="1"/>
        <rFont val="Calibri"/>
        <family val="2"/>
        <scheme val="minor"/>
      </rPr>
      <t>[$]</t>
    </r>
  </si>
  <si>
    <t>Saving money related to the show down and slow down (per year) [$]</t>
  </si>
  <si>
    <t>Saving money in it operation (Salary cost and unexpected cost) [$]</t>
  </si>
  <si>
    <t>Increased productivity IT team</t>
  </si>
  <si>
    <t>Productivity Costs</t>
  </si>
  <si>
    <t>Item</t>
  </si>
  <si>
    <t>How many people use the application? [users]</t>
  </si>
  <si>
    <t>Slowdown hours [monthly]</t>
  </si>
  <si>
    <t>(What would be an estimate of the how many times your application gets slow in a daily basis? (Minutes)  / 60 min) * 30 days</t>
  </si>
  <si>
    <t>Shutdown hours [monthly]</t>
  </si>
  <si>
    <t>(What would be an estimate of how many times your application gets shut down in a weekly basis?  (Minutes) / 60min)  * 4 weeks</t>
  </si>
  <si>
    <t>How many are the standard working hours allowed in the country of origin of the application per day? [h]</t>
  </si>
  <si>
    <t>Actual productivity  IT team whom use the application [%]</t>
  </si>
  <si>
    <t>(people use the application? * Cantidad horas diaras que trabajan las personas * 20 days )-  (people use the app *(slowdown hours + shutdown hours))</t>
  </si>
  <si>
    <t>Total hours works [monthtly hours]</t>
  </si>
  <si>
    <t>How many people use the application? * daily hours  * 20 days</t>
  </si>
  <si>
    <t>Item\Years</t>
  </si>
  <si>
    <t>[%]</t>
  </si>
  <si>
    <t>Increased productivity [%]</t>
  </si>
  <si>
    <t>Increased productivity IT team [%]</t>
  </si>
  <si>
    <t xml:space="preserve">Actual cloud productivity - Actual legacy productivity </t>
  </si>
  <si>
    <t>Total hours legacy works (mothly) * How much is the average hourly cost for the employee using the application? (USD)* Increased productivity IT team * 12 months</t>
  </si>
  <si>
    <t>(it Salary legacy cost + it salary unexpected legacy cost)* Increased productivity IT team</t>
  </si>
  <si>
    <t>Total customer Savings money through productivity improvements [$]</t>
  </si>
  <si>
    <t>Saving money + saving money it operation</t>
  </si>
  <si>
    <t>Total Saving infrastructure money [$]</t>
  </si>
  <si>
    <t>Total [$]</t>
  </si>
  <si>
    <t xml:space="preserve">Saving money due to improvements in productivity IT team </t>
  </si>
  <si>
    <t>Total/sum(downtime_legacy_cost_1_year;shut_down_legacy_cost_1_year;it_salary_legacy_cost_1_year;unexpected_legacy_cost_1_year)</t>
  </si>
  <si>
    <t>To Graph</t>
  </si>
  <si>
    <t>Costs (n) Year Legacy/Cloud</t>
  </si>
  <si>
    <t>Costs (USD)\Year</t>
  </si>
  <si>
    <t>2  [$]</t>
  </si>
  <si>
    <t>3  [$]</t>
  </si>
  <si>
    <t>Capex Legacy</t>
  </si>
  <si>
    <t>Business Costs Total</t>
  </si>
  <si>
    <t>Opex Legacy</t>
  </si>
  <si>
    <t>Operational Legacy cost</t>
  </si>
  <si>
    <t>Total Legacy</t>
  </si>
  <si>
    <t>Operational Legacy cost + Business Costs Total</t>
  </si>
  <si>
    <t>Capex Cloud</t>
  </si>
  <si>
    <t>Capital Cloud Cost</t>
  </si>
  <si>
    <t>Opex Cloud</t>
  </si>
  <si>
    <t>Operational Cloud Cost</t>
  </si>
  <si>
    <t>Total Cloud</t>
  </si>
  <si>
    <t>Costs by year Legacy/Cloud</t>
  </si>
  <si>
    <t>1  [$]</t>
  </si>
  <si>
    <t xml:space="preserve">High Level Business Case TCO Analysis </t>
  </si>
  <si>
    <t>0</t>
  </si>
  <si>
    <t>TCO/ year reduction($)</t>
  </si>
  <si>
    <t>(Sum of Total legacy Cost – Sum of Total Cloud Cost)</t>
  </si>
  <si>
    <t>TCO/ Keep on premise</t>
  </si>
  <si>
    <t>Investment</t>
  </si>
  <si>
    <t>x</t>
  </si>
  <si>
    <t>Payback</t>
  </si>
  <si>
    <t>Dashboard</t>
  </si>
  <si>
    <t>Business Case Summary</t>
  </si>
  <si>
    <t>Saving total in operating expenditures</t>
  </si>
  <si>
    <t>ROI in 2 years</t>
  </si>
  <si>
    <t>Increase productivity (1 year)</t>
  </si>
  <si>
    <t>Summary - TCO Reduction per year</t>
  </si>
  <si>
    <t>Investment (P1)</t>
  </si>
  <si>
    <t>Post Mygration Analysis (Per Application)</t>
  </si>
  <si>
    <t>Value</t>
  </si>
  <si>
    <t xml:space="preserve"> Item\Years</t>
  </si>
  <si>
    <t>Payback (year) (&gt;0)</t>
  </si>
  <si>
    <t>Payback (&gt;0) (years)</t>
  </si>
  <si>
    <t>ROIn - abs(ROIn-1)</t>
  </si>
  <si>
    <t>ROI 1 years</t>
  </si>
  <si>
    <t xml:space="preserve"> (Earning from change (year 1) - initial investment)/ initial investment</t>
  </si>
  <si>
    <t>ROI</t>
  </si>
  <si>
    <t>ROI 3 years</t>
  </si>
  <si>
    <t xml:space="preserve"> (Earning from change (year 3) - initial investment)/ initial investment</t>
  </si>
  <si>
    <t>Cloud Costs</t>
  </si>
  <si>
    <t>TCO/ year reduction(%)</t>
  </si>
  <si>
    <t>(initial investment/ Earning from change)</t>
  </si>
  <si>
    <t>TCO/Year 1 reduction (%)</t>
  </si>
  <si>
    <t xml:space="preserve">   </t>
  </si>
  <si>
    <t>TCO/Year 2 reduction (%)</t>
  </si>
  <si>
    <t>TCO/Total year reduction (%) (3 year)</t>
  </si>
  <si>
    <t>REF https://es.extendoffice.com/documents/excel/2344-excel-add-vertical-line-to-bar-chart.html</t>
  </si>
  <si>
    <t>TCO/Year reduction($) ( 1 year)</t>
  </si>
  <si>
    <t>Implementation Costs</t>
  </si>
  <si>
    <t>*(Costs calculated after estimating the project using the AMD Estimation Template)</t>
  </si>
  <si>
    <t>For clients that need to be provided with Cloud Licensing</t>
  </si>
  <si>
    <t>Cost Implementation (Refactoring or Replatform estimated Using AMD estimating template)</t>
  </si>
  <si>
    <t>Cloud cost (on-premise and cloud coexistence)2</t>
  </si>
  <si>
    <t>Cloud Licensing Costs (1 year)</t>
  </si>
  <si>
    <t>Total Costs</t>
  </si>
  <si>
    <t>For clients that have Enterprise Agreements with Cloud providers</t>
  </si>
  <si>
    <t>General information</t>
  </si>
  <si>
    <t>1s year</t>
  </si>
  <si>
    <t>3 rd year</t>
  </si>
  <si>
    <t>Application Name</t>
  </si>
  <si>
    <t>Initial investment [$]</t>
  </si>
  <si>
    <t>IT Operational  productivity</t>
  </si>
  <si>
    <t>Number of implementation months of all applications</t>
  </si>
  <si>
    <t>Modernization Development Cost</t>
  </si>
  <si>
    <t>Cost of change (Legacy cost while implementing cloud)</t>
  </si>
  <si>
    <t>IT salary legacy cost [$]</t>
  </si>
  <si>
    <t>IT unexpected legacy cost[$]</t>
  </si>
  <si>
    <t>Infrastructure legacy cost [$]</t>
  </si>
  <si>
    <t>licensing leagcy cost [$]</t>
  </si>
  <si>
    <t>Operational legacy cost  [$]</t>
  </si>
  <si>
    <t>Downtime legacy cost [$]</t>
  </si>
  <si>
    <t>Shut down legacy costs [$]</t>
  </si>
  <si>
    <t>business legacy cost [$]</t>
  </si>
  <si>
    <t>Total legacy cost [$]</t>
  </si>
  <si>
    <t>IT cloud salary cost  per year [$]</t>
  </si>
  <si>
    <t>IT cloud unexpected cost  per year [$]</t>
  </si>
  <si>
    <t>Infrastructure cloud cost [$]</t>
  </si>
  <si>
    <t>licensing cloud cost [$]</t>
  </si>
  <si>
    <t>Operational cloud cost [$]</t>
  </si>
  <si>
    <t>Downtime cloud cost [$]</t>
  </si>
  <si>
    <t>Shut down cloud costs [$]</t>
  </si>
  <si>
    <t>business cloud cost [$]</t>
  </si>
  <si>
    <t>Total cloud cost [$]</t>
  </si>
  <si>
    <t>TCO reduction per year [%]</t>
  </si>
  <si>
    <t>Savings in operational expenditures  [%]</t>
  </si>
  <si>
    <t>Earning from change  [$]</t>
  </si>
  <si>
    <t>ROI  [%]</t>
  </si>
  <si>
    <t>Productivity [%]</t>
  </si>
  <si>
    <t>Saving in IT salary cost [%]</t>
  </si>
  <si>
    <t>Total savings due to improvements in productivity [$]</t>
  </si>
  <si>
    <t>TCO reduction [%]</t>
  </si>
  <si>
    <t>Application consolidated information</t>
  </si>
  <si>
    <t>1st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</si>
</sst>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quot;$&quot;\ #,##0;[Red]\-&quot;$&quot;\ #,##0"/>
    <numFmt numFmtId="165" formatCode="&quot;$&quot;\ #,##0.00;\-&quot;$&quot;\ #,##0.00"/>
    <numFmt numFmtId="166" formatCode="&quot;$&quot;\ #,##0.00;[Red]\-&quot;$&quot;\ #,##0.00"/>
    <numFmt numFmtId="167" formatCode="_-&quot;$&quot;\ * #,##0.00_-;\-&quot;$&quot;\ * #,##0.00_-;_-&quot;$&quot;\ * &quot;-&quot;??_-;_-@_-"/>
    <numFmt numFmtId="168" formatCode="#,##0.00_ ;\-#,##0.00\ "/>
    <numFmt numFmtId="169" formatCode="_-&quot;$&quot;\ * #,##0_-;\-&quot;$&quot;\ * #,##0_-;_-&quot;$&quot;\ * &quot;-&quot;??_-;_-@_-"/>
    <numFmt numFmtId="170" formatCode="#,##0_ ;\-#,##0\ "/>
    <numFmt numFmtId="171" formatCode="#,##0.00_ ;[Red]\-#,##0.00\ "/>
    <numFmt numFmtId="172" formatCode="0.0%"/>
    <numFmt numFmtId="173" formatCode="0.000"/>
    <numFmt numFmtId="174" formatCode="#,##0.000_ ;\-#,##0.000\ "/>
    <numFmt numFmtId="175" formatCode="0.0000%"/>
  </numFmts>
  <fonts count="54">
    <font>
      <sz val="11"/>
      <color theme="1"/>
      <name val="Calibri"/>
      <family val="2"/>
      <scheme val="minor"/>
    </font>
    <font>
      <b/>
      <sz val="12"/>
      <color theme="1"/>
      <name val="Calibri"/>
      <family val="2"/>
      <scheme val="minor"/>
    </font>
    <font>
      <i/>
      <sz val="12"/>
      <color theme="4"/>
      <name val="Calibri"/>
      <family val="2"/>
      <scheme val="minor"/>
    </font>
    <font>
      <sz val="12"/>
      <color theme="1"/>
      <name val="Calibri"/>
      <family val="2"/>
      <scheme val="minor"/>
    </font>
    <font>
      <b/>
      <sz val="12"/>
      <color theme="0"/>
      <name val="Calibri"/>
      <family val="2"/>
      <scheme val="minor"/>
    </font>
    <font>
      <b/>
      <sz val="12"/>
      <color rgb="FFC00000"/>
      <name val="Calibri"/>
      <family val="2"/>
      <scheme val="minor"/>
    </font>
    <font>
      <u/>
      <sz val="11"/>
      <color theme="1"/>
      <name val="Calibri"/>
      <family val="2"/>
      <scheme val="minor"/>
    </font>
    <font>
      <i/>
      <sz val="11"/>
      <color theme="1"/>
      <name val="Calibri"/>
      <family val="2"/>
      <scheme val="minor"/>
    </font>
    <font>
      <i/>
      <sz val="9"/>
      <color theme="1"/>
      <name val="Calibri"/>
      <family val="2"/>
      <scheme val="minor"/>
    </font>
    <font>
      <i/>
      <sz val="8"/>
      <color theme="1"/>
      <name val="Calibri"/>
      <family val="2"/>
      <scheme val="minor"/>
    </font>
    <font>
      <b/>
      <sz val="12"/>
      <color rgb="FF002060"/>
      <name val="Calibri"/>
      <family val="2"/>
      <scheme val="minor"/>
    </font>
    <font>
      <sz val="11"/>
      <color theme="1"/>
      <name val="Calibri"/>
      <family val="2"/>
      <scheme val="minor"/>
    </font>
    <font>
      <b/>
      <sz val="11"/>
      <color theme="1"/>
      <name val="Calibri"/>
      <family val="2"/>
      <scheme val="minor"/>
    </font>
    <font>
      <b/>
      <sz val="18"/>
      <color theme="4"/>
      <name val="Calibri"/>
      <family val="2"/>
      <scheme val="minor"/>
    </font>
    <font>
      <i/>
      <sz val="11"/>
      <color theme="4"/>
      <name val="Calibri"/>
      <family val="2"/>
      <scheme val="minor"/>
    </font>
    <font>
      <i/>
      <sz val="11"/>
      <color theme="0"/>
      <name val="Calibri"/>
      <family val="2"/>
      <scheme val="minor"/>
    </font>
    <font>
      <b/>
      <sz val="14"/>
      <color rgb="FFB9193B"/>
      <name val="Calibri"/>
      <family val="2"/>
      <scheme val="minor"/>
    </font>
    <font>
      <b/>
      <sz val="12"/>
      <color rgb="FFB9193B"/>
      <name val="Calibri"/>
      <family val="2"/>
      <scheme val="minor"/>
    </font>
    <font>
      <sz val="12"/>
      <color theme="2" tint="-0.749992370372631"/>
      <name val="Calibri"/>
      <family val="2"/>
      <scheme val="minor"/>
    </font>
    <font>
      <b/>
      <sz val="12"/>
      <color theme="3"/>
      <name val="Calibri"/>
      <family val="2"/>
      <scheme val="minor"/>
    </font>
    <font>
      <sz val="11"/>
      <color theme="0"/>
      <name val="Calibri"/>
      <family val="2"/>
      <scheme val="minor"/>
    </font>
    <font>
      <b/>
      <i/>
      <sz val="12"/>
      <color theme="0"/>
      <name val="Calibri"/>
      <family val="2"/>
      <scheme val="minor"/>
    </font>
    <font>
      <i/>
      <sz val="12"/>
      <color theme="0"/>
      <name val="Calibri"/>
      <family val="2"/>
      <scheme val="minor"/>
    </font>
    <font>
      <b/>
      <sz val="18"/>
      <color rgb="FFB9193B"/>
      <name val="Calibri"/>
      <family val="2"/>
      <scheme val="minor"/>
    </font>
    <font>
      <i/>
      <sz val="11"/>
      <color theme="3"/>
      <name val="Calibri"/>
      <family val="2"/>
      <scheme val="minor"/>
    </font>
    <font>
      <i/>
      <sz val="12"/>
      <color theme="3"/>
      <name val="Calibri"/>
      <family val="2"/>
      <scheme val="minor"/>
    </font>
    <font>
      <i/>
      <sz val="9"/>
      <color theme="0" tint="-0.34998626667073579"/>
      <name val="Calibri"/>
      <family val="2"/>
      <scheme val="minor"/>
    </font>
    <font>
      <b/>
      <sz val="14"/>
      <color theme="3"/>
      <name val="Calibri"/>
      <family val="2"/>
      <scheme val="minor"/>
    </font>
    <font>
      <sz val="12"/>
      <name val="Calibri"/>
      <family val="2"/>
      <scheme val="minor"/>
    </font>
    <font>
      <sz val="12"/>
      <color theme="0"/>
      <name val="Calibri"/>
      <family val="2"/>
      <scheme val="minor"/>
    </font>
    <font>
      <b/>
      <i/>
      <sz val="11"/>
      <color theme="0"/>
      <name val="Calibri"/>
      <family val="2"/>
      <scheme val="minor"/>
    </font>
    <font>
      <b/>
      <sz val="12"/>
      <color theme="2" tint="-0.89999084444715716"/>
      <name val="Calibri"/>
      <family val="2"/>
      <scheme val="minor"/>
    </font>
    <font>
      <b/>
      <i/>
      <sz val="12"/>
      <color rgb="FFB9193B"/>
      <name val="Calibri"/>
      <family val="2"/>
      <scheme val="minor"/>
    </font>
    <font>
      <sz val="9"/>
      <color indexed="81"/>
      <name val="Tahoma"/>
      <family val="2"/>
    </font>
    <font>
      <b/>
      <sz val="9"/>
      <color indexed="81"/>
      <name val="Tahoma"/>
      <family val="2"/>
    </font>
    <font>
      <sz val="14"/>
      <color theme="1"/>
      <name val="Calibri"/>
      <family val="2"/>
      <scheme val="minor"/>
    </font>
    <font>
      <b/>
      <sz val="14"/>
      <color theme="1"/>
      <name val="Calibri"/>
      <family val="2"/>
      <scheme val="minor"/>
    </font>
    <font>
      <sz val="11"/>
      <color theme="0" tint="-4.9989318521683403E-2"/>
      <name val="Calibri"/>
      <family val="2"/>
      <scheme val="minor"/>
    </font>
    <font>
      <b/>
      <i/>
      <sz val="9"/>
      <color theme="1"/>
      <name val="Calibri"/>
      <family val="2"/>
      <scheme val="minor"/>
    </font>
    <font>
      <i/>
      <sz val="9"/>
      <color theme="2" tint="-0.89999084444715716"/>
      <name val="Calibri"/>
      <family val="2"/>
      <scheme val="minor"/>
    </font>
    <font>
      <sz val="9"/>
      <color rgb="FFFF0000"/>
      <name val="Calibri"/>
      <family val="2"/>
      <scheme val="minor"/>
    </font>
    <font>
      <i/>
      <sz val="12"/>
      <color theme="1"/>
      <name val="Calibri"/>
      <family val="2"/>
      <scheme val="minor"/>
    </font>
    <font>
      <b/>
      <sz val="11"/>
      <color theme="0"/>
      <name val="Calibri"/>
      <family val="2"/>
      <scheme val="minor"/>
    </font>
    <font>
      <sz val="9"/>
      <color theme="1"/>
      <name val="Calibri"/>
      <family val="2"/>
      <scheme val="minor"/>
    </font>
    <font>
      <b/>
      <sz val="11"/>
      <color theme="3"/>
      <name val="Calibri"/>
      <family val="2"/>
      <scheme val="minor"/>
    </font>
    <font>
      <sz val="16"/>
      <color theme="1"/>
      <name val="Calibri"/>
      <family val="2"/>
      <scheme val="minor"/>
    </font>
    <font>
      <b/>
      <sz val="16"/>
      <color theme="1"/>
      <name val="Calibri"/>
      <family val="2"/>
      <scheme val="minor"/>
    </font>
    <font>
      <sz val="8"/>
      <name val="Calibri"/>
      <family val="2"/>
      <scheme val="minor"/>
    </font>
    <font>
      <sz val="12"/>
      <color theme="1"/>
      <name val="Montserrat"/>
    </font>
    <font>
      <b/>
      <sz val="12"/>
      <name val="Calibri"/>
      <family val="2"/>
      <scheme val="minor"/>
    </font>
    <font>
      <b/>
      <sz val="18"/>
      <color rgb="FF4472C4"/>
      <name val="Calibri"/>
    </font>
    <font>
      <b/>
      <sz val="12"/>
      <color theme="4"/>
      <name val="Calibri"/>
      <family val="2"/>
      <scheme val="minor"/>
    </font>
    <font>
      <i/>
      <sz val="12"/>
      <color rgb="FFFF0000"/>
      <name val="Calibri"/>
      <family val="2"/>
      <scheme val="minor"/>
    </font>
    <font>
      <b/>
      <sz val="18"/>
      <color theme="1"/>
      <name val="Calibri"/>
      <family val="2"/>
      <scheme val="minor"/>
    </font>
  </fonts>
  <fills count="19">
    <fill>
      <patternFill patternType="none"/>
    </fill>
    <fill>
      <patternFill patternType="gray125"/>
    </fill>
    <fill>
      <patternFill patternType="solid">
        <fgColor theme="0"/>
        <bgColor indexed="64"/>
      </patternFill>
    </fill>
    <fill>
      <patternFill patternType="solid">
        <fgColor theme="6" tint="0.79998168889431442"/>
        <bgColor indexed="64"/>
      </patternFill>
    </fill>
    <fill>
      <patternFill patternType="solid">
        <fgColor rgb="FFB9193B"/>
        <bgColor indexed="64"/>
      </patternFill>
    </fill>
    <fill>
      <patternFill patternType="solid">
        <fgColor rgb="FFFFFF00"/>
        <bgColor indexed="64"/>
      </patternFill>
    </fill>
    <fill>
      <patternFill patternType="solid">
        <fgColor theme="8"/>
      </patternFill>
    </fill>
    <fill>
      <patternFill patternType="solid">
        <fgColor rgb="FFB9193B"/>
        <bgColor theme="4"/>
      </patternFill>
    </fill>
    <fill>
      <patternFill patternType="solid">
        <fgColor theme="3"/>
        <bgColor indexed="64"/>
      </patternFill>
    </fill>
    <fill>
      <patternFill patternType="solid">
        <fgColor theme="8"/>
        <bgColor indexed="64"/>
      </patternFill>
    </fill>
    <fill>
      <patternFill patternType="solid">
        <fgColor theme="8"/>
        <bgColor theme="8"/>
      </patternFill>
    </fill>
    <fill>
      <patternFill patternType="solid">
        <fgColor theme="8" tint="0.79998168889431442"/>
        <bgColor indexed="64"/>
      </patternFill>
    </fill>
    <fill>
      <patternFill patternType="solid">
        <fgColor theme="8" tint="0.79998168889431442"/>
        <bgColor theme="4"/>
      </patternFill>
    </fill>
    <fill>
      <patternFill patternType="solid">
        <fgColor theme="4"/>
        <bgColor indexed="64"/>
      </patternFill>
    </fill>
    <fill>
      <patternFill patternType="solid">
        <fgColor theme="4" tint="-0.499984740745262"/>
        <bgColor indexed="64"/>
      </patternFill>
    </fill>
    <fill>
      <patternFill patternType="solid">
        <fgColor theme="9"/>
        <bgColor indexed="64"/>
      </patternFill>
    </fill>
    <fill>
      <patternFill patternType="solid">
        <fgColor theme="0" tint="-0.499984740745262"/>
        <bgColor indexed="64"/>
      </patternFill>
    </fill>
    <fill>
      <patternFill patternType="solid">
        <fgColor theme="5"/>
        <bgColor indexed="64"/>
      </patternFill>
    </fill>
    <fill>
      <patternFill patternType="solid">
        <fgColor rgb="FFFFFFFF"/>
        <bgColor indexed="64"/>
      </patternFill>
    </fill>
  </fills>
  <borders count="40">
    <border>
      <left/>
      <right/>
      <top/>
      <bottom/>
      <diagonal/>
    </border>
    <border>
      <left style="thin">
        <color theme="4"/>
      </left>
      <right/>
      <top style="thin">
        <color theme="4"/>
      </top>
      <bottom/>
      <diagonal/>
    </border>
    <border>
      <left/>
      <right/>
      <top style="thin">
        <color theme="4"/>
      </top>
      <bottom/>
      <diagonal/>
    </border>
    <border>
      <left/>
      <right/>
      <top style="thin">
        <color theme="4"/>
      </top>
      <bottom style="thin">
        <color theme="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top/>
      <bottom style="thin">
        <color theme="4" tint="0.39994506668294322"/>
      </bottom>
      <diagonal/>
    </border>
    <border>
      <left/>
      <right/>
      <top/>
      <bottom style="thin">
        <color theme="4"/>
      </bottom>
      <diagonal/>
    </border>
    <border>
      <left/>
      <right/>
      <top/>
      <bottom style="thin">
        <color theme="2" tint="-0.749961851863155"/>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rgb="FFB9193B"/>
      </left>
      <right style="thin">
        <color rgb="FFB9193B"/>
      </right>
      <top/>
      <bottom/>
      <diagonal/>
    </border>
    <border>
      <left style="thin">
        <color rgb="FFB9193B"/>
      </left>
      <right/>
      <top/>
      <bottom/>
      <diagonal/>
    </border>
    <border>
      <left/>
      <right/>
      <top/>
      <bottom style="thin">
        <color theme="6" tint="-0.24994659260841701"/>
      </bottom>
      <diagonal/>
    </border>
    <border>
      <left/>
      <right/>
      <top/>
      <bottom style="thin">
        <color theme="0" tint="-0.499984740745262"/>
      </bottom>
      <diagonal/>
    </border>
    <border>
      <left/>
      <right/>
      <top style="thin">
        <color theme="4" tint="0.39994506668294322"/>
      </top>
      <bottom style="thin">
        <color theme="4" tint="0.39994506668294322"/>
      </bottom>
      <diagonal/>
    </border>
    <border>
      <left style="thin">
        <color rgb="FFB9193B"/>
      </left>
      <right style="thin">
        <color theme="4" tint="0.39994506668294322"/>
      </right>
      <top/>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4" tint="0.39991454817346722"/>
      </left>
      <right style="thin">
        <color theme="4" tint="0.39991454817346722"/>
      </right>
      <top style="thin">
        <color theme="4" tint="0.39991454817346722"/>
      </top>
      <bottom/>
      <diagonal/>
    </border>
    <border>
      <left style="thin">
        <color theme="4" tint="0.39991454817346722"/>
      </left>
      <right style="thin">
        <color theme="4" tint="0.39991454817346722"/>
      </right>
      <top/>
      <bottom/>
      <diagonal/>
    </border>
    <border>
      <left style="thin">
        <color theme="4" tint="0.39991454817346722"/>
      </left>
      <right style="thin">
        <color theme="4" tint="0.39991454817346722"/>
      </right>
      <top style="thin">
        <color theme="4" tint="0.39994506668294322"/>
      </top>
      <bottom style="thin">
        <color theme="4" tint="0.39994506668294322"/>
      </bottom>
      <diagonal/>
    </border>
    <border>
      <left style="thin">
        <color theme="4" tint="0.39991454817346722"/>
      </left>
      <right style="thin">
        <color theme="4" tint="0.39991454817346722"/>
      </right>
      <top style="thin">
        <color theme="4" tint="0.39994506668294322"/>
      </top>
      <bottom style="thin">
        <color theme="4" tint="0.39991454817346722"/>
      </bottom>
      <diagonal/>
    </border>
    <border>
      <left style="thin">
        <color theme="4" tint="0.39994506668294322"/>
      </left>
      <right style="thin">
        <color theme="4" tint="0.39991454817346722"/>
      </right>
      <top style="thin">
        <color theme="4" tint="0.39991454817346722"/>
      </top>
      <bottom style="thin">
        <color theme="4" tint="0.39991454817346722"/>
      </bottom>
      <diagonal/>
    </border>
    <border>
      <left/>
      <right/>
      <top style="thin">
        <color theme="8"/>
      </top>
      <bottom/>
      <diagonal/>
    </border>
    <border>
      <left/>
      <right style="thin">
        <color theme="8"/>
      </right>
      <top style="thin">
        <color theme="8"/>
      </top>
      <bottom/>
      <diagonal/>
    </border>
    <border>
      <left style="thin">
        <color theme="8"/>
      </left>
      <right/>
      <top/>
      <bottom/>
      <diagonal/>
    </border>
    <border>
      <left style="thin">
        <color theme="8"/>
      </left>
      <right style="thin">
        <color theme="8"/>
      </right>
      <top/>
      <bottom/>
      <diagonal/>
    </border>
    <border>
      <left/>
      <right/>
      <top/>
      <bottom style="thin">
        <color theme="2" tint="-0.499984740745262"/>
      </bottom>
      <diagonal/>
    </border>
    <border>
      <left/>
      <right/>
      <top style="thin">
        <color theme="4"/>
      </top>
      <bottom style="thin">
        <color theme="4" tint="0.39994506668294322"/>
      </bottom>
      <diagonal/>
    </border>
    <border>
      <left/>
      <right/>
      <top/>
      <bottom style="thin">
        <color theme="2" tint="-0.89996032593768116"/>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thin">
        <color theme="8"/>
      </right>
      <top/>
      <bottom/>
      <diagonal/>
    </border>
    <border>
      <left style="thin">
        <color theme="4" tint="0.39997558519241921"/>
      </left>
      <right style="thin">
        <color theme="4" tint="0.39994506668294322"/>
      </right>
      <top style="thin">
        <color theme="4" tint="0.39997558519241921"/>
      </top>
      <bottom style="thin">
        <color theme="4" tint="0.39997558519241921"/>
      </bottom>
      <diagonal/>
    </border>
    <border>
      <left style="thin">
        <color auto="1"/>
      </left>
      <right/>
      <top/>
      <bottom/>
      <diagonal/>
    </border>
    <border>
      <left/>
      <right/>
      <top style="thin">
        <color theme="2" tint="-0.749961851863155"/>
      </top>
      <bottom/>
      <diagonal/>
    </border>
  </borders>
  <cellStyleXfs count="4">
    <xf numFmtId="0" fontId="0" fillId="0" borderId="0"/>
    <xf numFmtId="167" fontId="11" fillId="0" borderId="0" applyFont="0" applyFill="0" applyBorder="0" applyAlignment="0" applyProtection="0"/>
    <xf numFmtId="9" fontId="11" fillId="0" borderId="0" applyFont="0" applyFill="0" applyBorder="0" applyAlignment="0" applyProtection="0"/>
    <xf numFmtId="0" fontId="20" fillId="6" borderId="0" applyNumberFormat="0" applyBorder="0" applyAlignment="0" applyProtection="0"/>
  </cellStyleXfs>
  <cellXfs count="299">
    <xf numFmtId="0" fontId="0" fillId="0" borderId="0" xfId="0"/>
    <xf numFmtId="0" fontId="3" fillId="0" borderId="0" xfId="0" applyFont="1" applyAlignment="1">
      <alignment wrapText="1"/>
    </xf>
    <xf numFmtId="0" fontId="3" fillId="0" borderId="0" xfId="0" applyFont="1"/>
    <xf numFmtId="9" fontId="3" fillId="0" borderId="0" xfId="0" applyNumberFormat="1" applyFont="1"/>
    <xf numFmtId="0" fontId="9" fillId="0" borderId="5" xfId="0" applyFont="1" applyBorder="1" applyAlignment="1">
      <alignment wrapText="1"/>
    </xf>
    <xf numFmtId="0" fontId="3" fillId="0" borderId="4" xfId="0" applyFont="1" applyBorder="1"/>
    <xf numFmtId="0" fontId="9" fillId="0" borderId="3" xfId="0" applyFont="1" applyBorder="1" applyAlignment="1">
      <alignment wrapText="1"/>
    </xf>
    <xf numFmtId="0" fontId="3" fillId="0" borderId="4" xfId="0" applyFont="1" applyBorder="1" applyAlignment="1">
      <alignment wrapText="1"/>
    </xf>
    <xf numFmtId="0" fontId="15" fillId="0" borderId="5" xfId="0" applyFont="1" applyBorder="1"/>
    <xf numFmtId="0" fontId="3" fillId="0" borderId="7" xfId="0" applyFont="1" applyBorder="1"/>
    <xf numFmtId="167" fontId="0" fillId="0" borderId="7" xfId="1" applyFont="1" applyBorder="1"/>
    <xf numFmtId="0" fontId="1" fillId="0" borderId="7" xfId="0" applyFont="1" applyBorder="1"/>
    <xf numFmtId="0" fontId="4" fillId="4" borderId="1" xfId="0" applyFont="1" applyFill="1" applyBorder="1" applyAlignment="1">
      <alignment horizontal="left"/>
    </xf>
    <xf numFmtId="0" fontId="0" fillId="2" borderId="0" xfId="0" applyFill="1"/>
    <xf numFmtId="0" fontId="3" fillId="2" borderId="0" xfId="0" applyFont="1" applyFill="1" applyAlignment="1">
      <alignment wrapText="1"/>
    </xf>
    <xf numFmtId="0" fontId="9" fillId="2" borderId="0" xfId="0" applyFont="1" applyFill="1"/>
    <xf numFmtId="0" fontId="3" fillId="2" borderId="0" xfId="0" applyFont="1" applyFill="1"/>
    <xf numFmtId="0" fontId="9" fillId="0" borderId="12" xfId="0" applyFont="1" applyBorder="1" applyAlignment="1">
      <alignment wrapText="1"/>
    </xf>
    <xf numFmtId="167" fontId="3" fillId="0" borderId="0" xfId="1" applyFont="1"/>
    <xf numFmtId="167" fontId="3" fillId="0" borderId="0" xfId="0" applyNumberFormat="1" applyFont="1"/>
    <xf numFmtId="164" fontId="3" fillId="2" borderId="0" xfId="0" applyNumberFormat="1" applyFont="1" applyFill="1"/>
    <xf numFmtId="167" fontId="3" fillId="2" borderId="0" xfId="0" applyNumberFormat="1" applyFont="1" applyFill="1"/>
    <xf numFmtId="2" fontId="3" fillId="0" borderId="0" xfId="2" applyNumberFormat="1" applyFont="1"/>
    <xf numFmtId="2" fontId="3" fillId="0" borderId="0" xfId="0" applyNumberFormat="1" applyFont="1"/>
    <xf numFmtId="0" fontId="9" fillId="2" borderId="5" xfId="0" applyFont="1" applyFill="1" applyBorder="1" applyAlignment="1">
      <alignment wrapText="1"/>
    </xf>
    <xf numFmtId="0" fontId="3" fillId="2" borderId="10" xfId="0" applyFont="1" applyFill="1" applyBorder="1"/>
    <xf numFmtId="167" fontId="3" fillId="2" borderId="10" xfId="1" applyFont="1" applyFill="1" applyBorder="1"/>
    <xf numFmtId="14" fontId="3" fillId="2" borderId="10" xfId="0" applyNumberFormat="1" applyFont="1" applyFill="1" applyBorder="1"/>
    <xf numFmtId="0" fontId="4" fillId="4" borderId="13" xfId="0" applyFont="1" applyFill="1" applyBorder="1" applyAlignment="1">
      <alignment horizontal="center" vertical="center"/>
    </xf>
    <xf numFmtId="0" fontId="4" fillId="4" borderId="14" xfId="0" applyFont="1" applyFill="1" applyBorder="1" applyAlignment="1">
      <alignment horizontal="center" vertical="center"/>
    </xf>
    <xf numFmtId="0" fontId="21" fillId="4" borderId="13" xfId="0" applyFont="1" applyFill="1" applyBorder="1" applyAlignment="1">
      <alignment horizontal="center" vertical="center"/>
    </xf>
    <xf numFmtId="0" fontId="22" fillId="4" borderId="13" xfId="0" applyFont="1" applyFill="1" applyBorder="1" applyAlignment="1">
      <alignment horizontal="center" vertical="center"/>
    </xf>
    <xf numFmtId="167" fontId="0" fillId="0" borderId="7" xfId="0" applyNumberFormat="1" applyBorder="1"/>
    <xf numFmtId="167" fontId="11" fillId="0" borderId="7" xfId="1" applyFont="1" applyBorder="1"/>
    <xf numFmtId="0" fontId="3" fillId="4" borderId="0" xfId="0" applyFont="1" applyFill="1" applyAlignment="1">
      <alignment horizontal="center" vertical="center" wrapText="1"/>
    </xf>
    <xf numFmtId="0" fontId="19" fillId="0" borderId="8" xfId="0" applyFont="1" applyBorder="1" applyAlignment="1">
      <alignment horizontal="left"/>
    </xf>
    <xf numFmtId="167" fontId="0" fillId="0" borderId="0" xfId="0" applyNumberFormat="1"/>
    <xf numFmtId="0" fontId="1" fillId="0" borderId="11" xfId="0" applyFont="1" applyBorder="1"/>
    <xf numFmtId="0" fontId="1" fillId="3" borderId="7" xfId="0" applyFont="1" applyFill="1" applyBorder="1"/>
    <xf numFmtId="0" fontId="9" fillId="3" borderId="3" xfId="0" applyFont="1" applyFill="1" applyBorder="1" applyAlignment="1">
      <alignment wrapText="1"/>
    </xf>
    <xf numFmtId="167" fontId="11" fillId="3" borderId="7" xfId="1" applyFont="1" applyFill="1" applyBorder="1"/>
    <xf numFmtId="9" fontId="3" fillId="2" borderId="0" xfId="2" applyFont="1" applyFill="1" applyAlignment="1">
      <alignment wrapText="1"/>
    </xf>
    <xf numFmtId="9" fontId="0" fillId="2" borderId="0" xfId="2" applyFont="1" applyFill="1"/>
    <xf numFmtId="9" fontId="0" fillId="2" borderId="10" xfId="2" applyFont="1" applyFill="1" applyBorder="1"/>
    <xf numFmtId="0" fontId="5" fillId="2" borderId="0" xfId="0" applyFont="1" applyFill="1"/>
    <xf numFmtId="9" fontId="16" fillId="2" borderId="16" xfId="2" applyFont="1" applyFill="1" applyBorder="1" applyAlignment="1">
      <alignment horizontal="center" wrapText="1"/>
    </xf>
    <xf numFmtId="9" fontId="16" fillId="2" borderId="0" xfId="2" applyFont="1" applyFill="1" applyBorder="1" applyAlignment="1">
      <alignment horizontal="center" wrapText="1"/>
    </xf>
    <xf numFmtId="9" fontId="3" fillId="2" borderId="0" xfId="2" applyFont="1" applyFill="1" applyBorder="1" applyAlignment="1">
      <alignment wrapText="1"/>
    </xf>
    <xf numFmtId="9" fontId="0" fillId="2" borderId="0" xfId="2" applyFont="1" applyFill="1" applyBorder="1"/>
    <xf numFmtId="1" fontId="3" fillId="2" borderId="0" xfId="2" applyNumberFormat="1" applyFont="1" applyFill="1" applyBorder="1" applyAlignment="1">
      <alignment wrapText="1"/>
    </xf>
    <xf numFmtId="9" fontId="16" fillId="2" borderId="16" xfId="2" applyFont="1" applyFill="1" applyBorder="1" applyAlignment="1">
      <alignment wrapText="1"/>
    </xf>
    <xf numFmtId="9" fontId="24" fillId="2" borderId="0" xfId="2" applyFont="1" applyFill="1" applyBorder="1" applyAlignment="1">
      <alignment horizontal="center" wrapText="1"/>
    </xf>
    <xf numFmtId="0" fontId="1" fillId="2" borderId="0" xfId="0" applyFont="1" applyFill="1" applyAlignment="1">
      <alignment wrapText="1"/>
    </xf>
    <xf numFmtId="0" fontId="10" fillId="2" borderId="0" xfId="0" applyFont="1" applyFill="1" applyAlignment="1">
      <alignment wrapText="1"/>
    </xf>
    <xf numFmtId="0" fontId="5" fillId="2" borderId="0" xfId="0" applyFont="1" applyFill="1" applyAlignment="1">
      <alignment wrapText="1"/>
    </xf>
    <xf numFmtId="14" fontId="3" fillId="2" borderId="0" xfId="0" applyNumberFormat="1" applyFont="1" applyFill="1"/>
    <xf numFmtId="9" fontId="23" fillId="2" borderId="0" xfId="2" applyFont="1" applyFill="1" applyBorder="1" applyAlignment="1">
      <alignment horizontal="center" wrapText="1"/>
    </xf>
    <xf numFmtId="9" fontId="16" fillId="2" borderId="0" xfId="2" applyFont="1" applyFill="1" applyBorder="1" applyAlignment="1">
      <alignment wrapText="1"/>
    </xf>
    <xf numFmtId="0" fontId="0" fillId="2" borderId="16" xfId="0" applyFill="1" applyBorder="1"/>
    <xf numFmtId="0" fontId="16" fillId="2" borderId="0" xfId="0" applyFont="1" applyFill="1" applyAlignment="1">
      <alignment wrapText="1"/>
    </xf>
    <xf numFmtId="0" fontId="14" fillId="2" borderId="0" xfId="0" applyFont="1" applyFill="1" applyAlignment="1">
      <alignment wrapText="1"/>
    </xf>
    <xf numFmtId="0" fontId="16" fillId="2" borderId="0" xfId="0" applyFont="1" applyFill="1" applyAlignment="1">
      <alignment horizontal="center" wrapText="1"/>
    </xf>
    <xf numFmtId="0" fontId="0" fillId="3" borderId="0" xfId="0" applyFill="1"/>
    <xf numFmtId="0" fontId="8" fillId="3" borderId="0" xfId="0" applyFont="1" applyFill="1"/>
    <xf numFmtId="9" fontId="0" fillId="3" borderId="0" xfId="0" applyNumberFormat="1" applyFill="1"/>
    <xf numFmtId="0" fontId="26" fillId="2" borderId="0" xfId="0" applyFont="1" applyFill="1" applyAlignment="1">
      <alignment wrapText="1"/>
    </xf>
    <xf numFmtId="167" fontId="0" fillId="3" borderId="0" xfId="1" applyFont="1" applyFill="1" applyBorder="1"/>
    <xf numFmtId="0" fontId="1" fillId="0" borderId="0" xfId="0" applyFont="1"/>
    <xf numFmtId="0" fontId="9" fillId="0" borderId="0" xfId="0" applyFont="1" applyAlignment="1">
      <alignment wrapText="1"/>
    </xf>
    <xf numFmtId="167" fontId="0" fillId="0" borderId="0" xfId="1" applyFont="1" applyBorder="1"/>
    <xf numFmtId="0" fontId="9" fillId="2" borderId="0" xfId="0" applyFont="1" applyFill="1" applyAlignment="1">
      <alignment wrapText="1"/>
    </xf>
    <xf numFmtId="167" fontId="0" fillId="0" borderId="0" xfId="1" applyFont="1" applyFill="1" applyBorder="1" applyAlignment="1">
      <alignment horizontal="center"/>
    </xf>
    <xf numFmtId="0" fontId="13" fillId="2" borderId="0" xfId="0" applyFont="1" applyFill="1" applyAlignment="1">
      <alignment horizontal="center"/>
    </xf>
    <xf numFmtId="0" fontId="21" fillId="8" borderId="13" xfId="0" applyFont="1" applyFill="1" applyBorder="1" applyAlignment="1">
      <alignment horizontal="center" vertical="center"/>
    </xf>
    <xf numFmtId="0" fontId="4" fillId="8" borderId="13" xfId="0" applyFont="1" applyFill="1" applyBorder="1" applyAlignment="1">
      <alignment horizontal="center" vertical="center"/>
    </xf>
    <xf numFmtId="0" fontId="4" fillId="8" borderId="14" xfId="0" applyFont="1" applyFill="1" applyBorder="1" applyAlignment="1">
      <alignment horizontal="center" vertical="center"/>
    </xf>
    <xf numFmtId="0" fontId="15" fillId="0" borderId="5" xfId="0" applyFont="1" applyBorder="1" applyAlignment="1">
      <alignment horizontal="center"/>
    </xf>
    <xf numFmtId="0" fontId="3" fillId="2" borderId="7" xfId="0" applyFont="1" applyFill="1" applyBorder="1"/>
    <xf numFmtId="0" fontId="27" fillId="2" borderId="0" xfId="0" applyFont="1" applyFill="1"/>
    <xf numFmtId="0" fontId="1" fillId="2" borderId="0" xfId="0" applyFont="1" applyFill="1"/>
    <xf numFmtId="167" fontId="0" fillId="2" borderId="0" xfId="1" applyFont="1" applyFill="1" applyBorder="1"/>
    <xf numFmtId="0" fontId="28" fillId="0" borderId="7" xfId="0" applyFont="1" applyBorder="1"/>
    <xf numFmtId="9" fontId="3" fillId="2" borderId="0" xfId="0" applyNumberFormat="1" applyFont="1" applyFill="1"/>
    <xf numFmtId="9" fontId="6" fillId="2" borderId="0" xfId="2" applyFont="1" applyFill="1" applyBorder="1"/>
    <xf numFmtId="9" fontId="24" fillId="2" borderId="0" xfId="2" applyFont="1" applyFill="1" applyBorder="1" applyAlignment="1">
      <alignment wrapText="1"/>
    </xf>
    <xf numFmtId="167" fontId="0" fillId="2" borderId="0" xfId="1" applyFont="1" applyFill="1" applyBorder="1" applyAlignment="1">
      <alignment horizontal="center"/>
    </xf>
    <xf numFmtId="167" fontId="0" fillId="2" borderId="0" xfId="0" applyNumberFormat="1" applyFill="1"/>
    <xf numFmtId="9" fontId="3" fillId="2" borderId="10" xfId="2" applyFont="1" applyFill="1" applyBorder="1"/>
    <xf numFmtId="0" fontId="4" fillId="4" borderId="18" xfId="0" applyFont="1" applyFill="1" applyBorder="1" applyAlignment="1">
      <alignment horizontal="center" vertical="center"/>
    </xf>
    <xf numFmtId="167" fontId="0" fillId="0" borderId="21" xfId="0" applyNumberFormat="1" applyBorder="1"/>
    <xf numFmtId="167" fontId="0" fillId="0" borderId="22" xfId="1" applyFont="1" applyFill="1" applyBorder="1"/>
    <xf numFmtId="0" fontId="0" fillId="0" borderId="21" xfId="0" applyBorder="1"/>
    <xf numFmtId="167" fontId="0" fillId="0" borderId="17" xfId="1" applyFont="1" applyFill="1" applyBorder="1"/>
    <xf numFmtId="167" fontId="0" fillId="3" borderId="17" xfId="1" applyFont="1" applyFill="1" applyBorder="1"/>
    <xf numFmtId="167" fontId="0" fillId="2" borderId="20" xfId="1" applyFont="1" applyFill="1" applyBorder="1"/>
    <xf numFmtId="167" fontId="0" fillId="2" borderId="21" xfId="1" applyFont="1" applyFill="1" applyBorder="1"/>
    <xf numFmtId="0" fontId="0" fillId="2" borderId="21" xfId="0" applyFill="1" applyBorder="1"/>
    <xf numFmtId="167" fontId="0" fillId="3" borderId="23" xfId="1" applyFont="1" applyFill="1" applyBorder="1"/>
    <xf numFmtId="10" fontId="0" fillId="0" borderId="0" xfId="2" applyNumberFormat="1" applyFont="1" applyBorder="1"/>
    <xf numFmtId="0" fontId="1" fillId="0" borderId="24" xfId="0" applyFont="1" applyBorder="1"/>
    <xf numFmtId="0" fontId="9" fillId="0" borderId="19" xfId="0" applyFont="1" applyBorder="1" applyAlignment="1">
      <alignment wrapText="1"/>
    </xf>
    <xf numFmtId="167" fontId="0" fillId="0" borderId="19" xfId="1" applyFont="1" applyBorder="1"/>
    <xf numFmtId="0" fontId="18" fillId="0" borderId="19" xfId="0" applyFont="1" applyBorder="1"/>
    <xf numFmtId="167" fontId="0" fillId="0" borderId="19" xfId="1" applyFont="1" applyFill="1" applyBorder="1"/>
    <xf numFmtId="0" fontId="19" fillId="0" borderId="24" xfId="0" applyFont="1" applyBorder="1" applyAlignment="1">
      <alignment horizontal="left"/>
    </xf>
    <xf numFmtId="0" fontId="19" fillId="0" borderId="19" xfId="0" applyFont="1" applyBorder="1" applyAlignment="1">
      <alignment horizontal="center"/>
    </xf>
    <xf numFmtId="0" fontId="3" fillId="0" borderId="24" xfId="0" applyFont="1" applyBorder="1"/>
    <xf numFmtId="0" fontId="1" fillId="3" borderId="24" xfId="0" applyFont="1" applyFill="1" applyBorder="1"/>
    <xf numFmtId="0" fontId="9" fillId="3" borderId="19" xfId="0" applyFont="1" applyFill="1" applyBorder="1" applyAlignment="1">
      <alignment wrapText="1"/>
    </xf>
    <xf numFmtId="167" fontId="0" fillId="3" borderId="19" xfId="1" applyFont="1" applyFill="1" applyBorder="1"/>
    <xf numFmtId="0" fontId="12" fillId="3" borderId="19" xfId="0" applyFont="1" applyFill="1" applyBorder="1"/>
    <xf numFmtId="166" fontId="12" fillId="3" borderId="19" xfId="0" applyNumberFormat="1" applyFont="1" applyFill="1" applyBorder="1"/>
    <xf numFmtId="0" fontId="3" fillId="0" borderId="25" xfId="0" applyFont="1" applyBorder="1"/>
    <xf numFmtId="167" fontId="3" fillId="2" borderId="25" xfId="0" applyNumberFormat="1" applyFont="1" applyFill="1" applyBorder="1"/>
    <xf numFmtId="167" fontId="3" fillId="0" borderId="25" xfId="0" applyNumberFormat="1" applyFont="1" applyBorder="1"/>
    <xf numFmtId="2" fontId="3" fillId="2" borderId="0" xfId="0" applyNumberFormat="1" applyFont="1" applyFill="1"/>
    <xf numFmtId="167" fontId="9" fillId="0" borderId="0" xfId="0" applyNumberFormat="1" applyFont="1" applyAlignment="1">
      <alignment wrapText="1"/>
    </xf>
    <xf numFmtId="9" fontId="3" fillId="2" borderId="0" xfId="2" applyFont="1" applyFill="1"/>
    <xf numFmtId="0" fontId="3" fillId="2" borderId="25" xfId="0" applyFont="1" applyFill="1" applyBorder="1"/>
    <xf numFmtId="0" fontId="9" fillId="2" borderId="12" xfId="0" applyFont="1" applyFill="1" applyBorder="1" applyAlignment="1">
      <alignment wrapText="1"/>
    </xf>
    <xf numFmtId="167" fontId="3" fillId="2" borderId="0" xfId="1" applyFont="1" applyFill="1" applyAlignment="1">
      <alignment horizontal="right"/>
    </xf>
    <xf numFmtId="0" fontId="20" fillId="4" borderId="0" xfId="3" applyFill="1" applyAlignment="1">
      <alignment horizontal="center" wrapText="1"/>
    </xf>
    <xf numFmtId="0" fontId="15" fillId="4" borderId="0" xfId="3" applyFont="1" applyFill="1" applyAlignment="1">
      <alignment horizontal="center" wrapText="1"/>
    </xf>
    <xf numFmtId="0" fontId="3" fillId="2" borderId="0" xfId="0" applyFont="1" applyFill="1" applyAlignment="1">
      <alignment horizontal="left"/>
    </xf>
    <xf numFmtId="0" fontId="29" fillId="2" borderId="0" xfId="0" applyFont="1" applyFill="1"/>
    <xf numFmtId="0" fontId="14" fillId="2" borderId="0" xfId="0" applyFont="1" applyFill="1" applyAlignment="1">
      <alignment horizontal="center" wrapText="1"/>
    </xf>
    <xf numFmtId="0" fontId="29" fillId="9" borderId="0" xfId="0" applyFont="1" applyFill="1" applyAlignment="1">
      <alignment horizontal="left"/>
    </xf>
    <xf numFmtId="0" fontId="29" fillId="9" borderId="0" xfId="0" applyFont="1" applyFill="1" applyAlignment="1">
      <alignment horizontal="left" vertical="center"/>
    </xf>
    <xf numFmtId="1" fontId="0" fillId="2" borderId="10" xfId="2" applyNumberFormat="1" applyFont="1" applyFill="1" applyBorder="1"/>
    <xf numFmtId="0" fontId="23" fillId="2" borderId="0" xfId="0" applyFont="1" applyFill="1" applyAlignment="1">
      <alignment horizontal="center"/>
    </xf>
    <xf numFmtId="9" fontId="1" fillId="2" borderId="0" xfId="0" applyNumberFormat="1" applyFont="1" applyFill="1" applyAlignment="1">
      <alignment horizontal="center" wrapText="1"/>
    </xf>
    <xf numFmtId="9" fontId="1" fillId="2" borderId="0" xfId="0" applyNumberFormat="1" applyFont="1" applyFill="1" applyAlignment="1">
      <alignment horizontal="right" wrapText="1"/>
    </xf>
    <xf numFmtId="0" fontId="12" fillId="2" borderId="0" xfId="0" applyFont="1" applyFill="1"/>
    <xf numFmtId="0" fontId="15" fillId="0" borderId="0" xfId="0" applyFont="1"/>
    <xf numFmtId="0" fontId="1" fillId="0" borderId="4" xfId="0" applyFont="1" applyBorder="1"/>
    <xf numFmtId="0" fontId="3" fillId="0" borderId="11" xfId="0" applyFont="1" applyBorder="1"/>
    <xf numFmtId="0" fontId="1" fillId="11" borderId="0" xfId="0" applyFont="1" applyFill="1"/>
    <xf numFmtId="0" fontId="9" fillId="11" borderId="0" xfId="0" applyFont="1" applyFill="1" applyAlignment="1">
      <alignment wrapText="1"/>
    </xf>
    <xf numFmtId="167" fontId="0" fillId="11" borderId="0" xfId="1" applyFont="1" applyFill="1" applyBorder="1"/>
    <xf numFmtId="0" fontId="31" fillId="12" borderId="0" xfId="0" applyFont="1" applyFill="1"/>
    <xf numFmtId="0" fontId="1" fillId="11" borderId="11" xfId="0" applyFont="1" applyFill="1" applyBorder="1"/>
    <xf numFmtId="0" fontId="3" fillId="11" borderId="11" xfId="0" applyFont="1" applyFill="1" applyBorder="1"/>
    <xf numFmtId="0" fontId="0" fillId="0" borderId="0" xfId="0" applyAlignment="1">
      <alignment wrapText="1"/>
    </xf>
    <xf numFmtId="0" fontId="30" fillId="10" borderId="5" xfId="0" applyFont="1" applyFill="1" applyBorder="1"/>
    <xf numFmtId="0" fontId="20" fillId="0" borderId="6" xfId="0" applyFont="1" applyBorder="1"/>
    <xf numFmtId="0" fontId="12" fillId="0" borderId="0" xfId="0" applyFont="1"/>
    <xf numFmtId="169" fontId="0" fillId="2" borderId="0" xfId="0" applyNumberFormat="1" applyFill="1"/>
    <xf numFmtId="170" fontId="0" fillId="2" borderId="0" xfId="0" applyNumberFormat="1" applyFill="1"/>
    <xf numFmtId="1" fontId="0" fillId="2" borderId="0" xfId="0" applyNumberFormat="1" applyFill="1"/>
    <xf numFmtId="0" fontId="4" fillId="10" borderId="25" xfId="0" applyFont="1" applyFill="1" applyBorder="1"/>
    <xf numFmtId="0" fontId="0" fillId="0" borderId="25" xfId="0" applyBorder="1" applyAlignment="1">
      <alignment wrapText="1"/>
    </xf>
    <xf numFmtId="169" fontId="0" fillId="2" borderId="0" xfId="1" applyNumberFormat="1" applyFont="1" applyFill="1" applyBorder="1"/>
    <xf numFmtId="0" fontId="4" fillId="10" borderId="25" xfId="0" applyFont="1" applyFill="1" applyBorder="1" applyAlignment="1">
      <alignment horizontal="center"/>
    </xf>
    <xf numFmtId="9" fontId="23" fillId="2" borderId="0" xfId="2" applyFont="1" applyFill="1" applyBorder="1" applyAlignment="1">
      <alignment wrapText="1"/>
    </xf>
    <xf numFmtId="0" fontId="13" fillId="2" borderId="0" xfId="0" applyFont="1" applyFill="1"/>
    <xf numFmtId="0" fontId="15" fillId="4" borderId="0" xfId="3" applyFont="1" applyFill="1" applyAlignment="1">
      <alignment horizontal="center" vertical="center" wrapText="1"/>
    </xf>
    <xf numFmtId="1" fontId="0" fillId="0" borderId="0" xfId="0" applyNumberFormat="1"/>
    <xf numFmtId="0" fontId="3" fillId="2" borderId="4" xfId="0" applyFont="1" applyFill="1" applyBorder="1"/>
    <xf numFmtId="169" fontId="0" fillId="0" borderId="0" xfId="0" applyNumberFormat="1"/>
    <xf numFmtId="167" fontId="0" fillId="0" borderId="0" xfId="1" applyFont="1" applyFill="1" applyAlignment="1">
      <alignment horizontal="center"/>
    </xf>
    <xf numFmtId="0" fontId="3" fillId="2" borderId="2" xfId="0" applyFont="1" applyFill="1" applyBorder="1"/>
    <xf numFmtId="0" fontId="9" fillId="0" borderId="2" xfId="0" applyFont="1" applyBorder="1" applyAlignment="1">
      <alignment wrapText="1"/>
    </xf>
    <xf numFmtId="171" fontId="12" fillId="3" borderId="19" xfId="0" applyNumberFormat="1" applyFont="1" applyFill="1" applyBorder="1"/>
    <xf numFmtId="168" fontId="0" fillId="2" borderId="0" xfId="1" applyNumberFormat="1" applyFont="1" applyFill="1" applyBorder="1"/>
    <xf numFmtId="10" fontId="0" fillId="0" borderId="0" xfId="2" applyNumberFormat="1" applyFont="1"/>
    <xf numFmtId="0" fontId="4" fillId="10" borderId="0" xfId="0" applyFont="1" applyFill="1" applyAlignment="1">
      <alignment horizontal="center"/>
    </xf>
    <xf numFmtId="9" fontId="12" fillId="2" borderId="0" xfId="2" applyFont="1" applyFill="1" applyBorder="1"/>
    <xf numFmtId="10" fontId="0" fillId="2" borderId="0" xfId="2" applyNumberFormat="1" applyFont="1" applyFill="1" applyBorder="1"/>
    <xf numFmtId="10" fontId="12" fillId="2" borderId="0" xfId="0" applyNumberFormat="1" applyFont="1" applyFill="1"/>
    <xf numFmtId="172" fontId="3" fillId="2" borderId="0" xfId="0" applyNumberFormat="1" applyFont="1" applyFill="1"/>
    <xf numFmtId="10" fontId="3" fillId="2" borderId="0" xfId="0" applyNumberFormat="1" applyFont="1" applyFill="1"/>
    <xf numFmtId="164" fontId="3" fillId="5" borderId="0" xfId="0" applyNumberFormat="1" applyFont="1" applyFill="1"/>
    <xf numFmtId="9" fontId="0" fillId="0" borderId="0" xfId="0" applyNumberFormat="1"/>
    <xf numFmtId="14" fontId="0" fillId="3" borderId="0" xfId="0" applyNumberFormat="1" applyFill="1"/>
    <xf numFmtId="0" fontId="35" fillId="2" borderId="0" xfId="0" applyFont="1" applyFill="1" applyAlignment="1">
      <alignment wrapText="1"/>
    </xf>
    <xf numFmtId="9" fontId="36" fillId="2" borderId="0" xfId="0" applyNumberFormat="1" applyFont="1" applyFill="1" applyAlignment="1">
      <alignment horizontal="right" wrapText="1"/>
    </xf>
    <xf numFmtId="9" fontId="3" fillId="2" borderId="26" xfId="2" applyFont="1" applyFill="1" applyBorder="1"/>
    <xf numFmtId="167" fontId="3" fillId="2" borderId="26" xfId="0" applyNumberFormat="1" applyFont="1" applyFill="1" applyBorder="1"/>
    <xf numFmtId="167" fontId="3" fillId="2" borderId="26" xfId="2" applyNumberFormat="1" applyFont="1" applyFill="1" applyBorder="1"/>
    <xf numFmtId="0" fontId="32" fillId="2" borderId="25" xfId="0" applyFont="1" applyFill="1" applyBorder="1" applyAlignment="1">
      <alignment horizontal="center"/>
    </xf>
    <xf numFmtId="167" fontId="13" fillId="2" borderId="26" xfId="0" applyNumberFormat="1" applyFont="1" applyFill="1" applyBorder="1" applyAlignment="1">
      <alignment horizontal="center"/>
    </xf>
    <xf numFmtId="167" fontId="3" fillId="0" borderId="26" xfId="0" applyNumberFormat="1" applyFont="1" applyBorder="1"/>
    <xf numFmtId="0" fontId="17" fillId="2" borderId="25" xfId="0" applyFont="1" applyFill="1" applyBorder="1" applyAlignment="1">
      <alignment horizontal="left"/>
    </xf>
    <xf numFmtId="0" fontId="3" fillId="0" borderId="25" xfId="0" applyFont="1" applyBorder="1" applyAlignment="1">
      <alignment wrapText="1"/>
    </xf>
    <xf numFmtId="0" fontId="3" fillId="2" borderId="25" xfId="0" applyFont="1" applyFill="1" applyBorder="1" applyAlignment="1">
      <alignment wrapText="1"/>
    </xf>
    <xf numFmtId="0" fontId="4" fillId="10" borderId="27" xfId="0" applyFont="1" applyFill="1" applyBorder="1" applyAlignment="1">
      <alignment horizontal="center"/>
    </xf>
    <xf numFmtId="0" fontId="4" fillId="10" borderId="28" xfId="0" applyFont="1" applyFill="1" applyBorder="1" applyAlignment="1">
      <alignment horizontal="center"/>
    </xf>
    <xf numFmtId="14" fontId="37" fillId="2" borderId="0" xfId="0" applyNumberFormat="1" applyFont="1" applyFill="1" applyAlignment="1">
      <alignment horizontal="center"/>
    </xf>
    <xf numFmtId="167" fontId="0" fillId="2" borderId="19" xfId="1" applyFont="1" applyFill="1" applyBorder="1"/>
    <xf numFmtId="0" fontId="0" fillId="2" borderId="0" xfId="0" applyFill="1" applyAlignment="1">
      <alignment wrapText="1"/>
    </xf>
    <xf numFmtId="0" fontId="38" fillId="2" borderId="0" xfId="0" applyFont="1" applyFill="1"/>
    <xf numFmtId="0" fontId="39" fillId="2" borderId="0" xfId="0" applyFont="1" applyFill="1" applyAlignment="1">
      <alignment horizontal="left"/>
    </xf>
    <xf numFmtId="0" fontId="0" fillId="2" borderId="29" xfId="0" applyFill="1" applyBorder="1"/>
    <xf numFmtId="0" fontId="8" fillId="2" borderId="0" xfId="0" applyFont="1" applyFill="1"/>
    <xf numFmtId="9" fontId="0" fillId="2" borderId="0" xfId="0" applyNumberFormat="1" applyFill="1"/>
    <xf numFmtId="170" fontId="0" fillId="2" borderId="0" xfId="1" applyNumberFormat="1" applyFont="1" applyFill="1" applyBorder="1"/>
    <xf numFmtId="9" fontId="0" fillId="2" borderId="10" xfId="0" applyNumberFormat="1" applyFill="1" applyBorder="1"/>
    <xf numFmtId="170" fontId="0" fillId="2" borderId="10" xfId="1" applyNumberFormat="1" applyFont="1" applyFill="1" applyBorder="1"/>
    <xf numFmtId="169" fontId="0" fillId="2" borderId="10" xfId="1" applyNumberFormat="1" applyFont="1" applyFill="1" applyBorder="1"/>
    <xf numFmtId="0" fontId="4" fillId="7" borderId="0" xfId="0" applyFont="1" applyFill="1" applyAlignment="1">
      <alignment horizontal="center" vertical="center" wrapText="1"/>
    </xf>
    <xf numFmtId="0" fontId="30" fillId="4" borderId="0" xfId="3" applyFont="1" applyFill="1" applyBorder="1" applyAlignment="1">
      <alignment horizontal="center" vertical="top" wrapText="1"/>
    </xf>
    <xf numFmtId="0" fontId="4" fillId="7" borderId="0" xfId="0" applyFont="1" applyFill="1" applyAlignment="1">
      <alignment horizontal="center" vertical="center"/>
    </xf>
    <xf numFmtId="164" fontId="3" fillId="2" borderId="2" xfId="0" applyNumberFormat="1" applyFont="1" applyFill="1" applyBorder="1"/>
    <xf numFmtId="167" fontId="3" fillId="2" borderId="2" xfId="0" applyNumberFormat="1" applyFont="1" applyFill="1" applyBorder="1"/>
    <xf numFmtId="169" fontId="0" fillId="2" borderId="31" xfId="1" applyNumberFormat="1" applyFont="1" applyFill="1" applyBorder="1"/>
    <xf numFmtId="0" fontId="0" fillId="0" borderId="0" xfId="0" applyAlignment="1">
      <alignment horizontal="center"/>
    </xf>
    <xf numFmtId="0" fontId="3" fillId="0" borderId="0" xfId="0" applyFont="1" applyAlignment="1">
      <alignment horizontal="center"/>
    </xf>
    <xf numFmtId="0" fontId="41" fillId="0" borderId="0" xfId="0" applyFont="1" applyAlignment="1">
      <alignment horizontal="center"/>
    </xf>
    <xf numFmtId="0" fontId="1" fillId="0" borderId="0" xfId="0" applyFont="1" applyAlignment="1">
      <alignment horizontal="center"/>
    </xf>
    <xf numFmtId="0" fontId="1" fillId="13" borderId="0" xfId="0" applyFont="1" applyFill="1" applyAlignment="1">
      <alignment horizontal="center"/>
    </xf>
    <xf numFmtId="0" fontId="41" fillId="13" borderId="0" xfId="0" applyFont="1" applyFill="1" applyAlignment="1">
      <alignment horizontal="center"/>
    </xf>
    <xf numFmtId="0" fontId="3" fillId="13" borderId="0" xfId="0" applyFont="1" applyFill="1" applyAlignment="1">
      <alignment horizontal="center"/>
    </xf>
    <xf numFmtId="0" fontId="7" fillId="13" borderId="0" xfId="0" applyFont="1" applyFill="1" applyAlignment="1">
      <alignment horizontal="center"/>
    </xf>
    <xf numFmtId="0" fontId="20" fillId="0" borderId="6" xfId="0" applyFont="1" applyBorder="1" applyAlignment="1">
      <alignment horizontal="center"/>
    </xf>
    <xf numFmtId="0" fontId="29" fillId="0" borderId="5" xfId="0" applyFont="1" applyBorder="1" applyAlignment="1">
      <alignment horizontal="center"/>
    </xf>
    <xf numFmtId="0" fontId="29" fillId="0" borderId="6" xfId="0" applyFont="1" applyBorder="1" applyAlignment="1">
      <alignment horizontal="center"/>
    </xf>
    <xf numFmtId="0" fontId="29" fillId="8" borderId="13" xfId="0" applyFont="1" applyFill="1" applyBorder="1" applyAlignment="1">
      <alignment horizontal="center" vertical="center"/>
    </xf>
    <xf numFmtId="0" fontId="9" fillId="0" borderId="30" xfId="0" applyFont="1" applyBorder="1" applyAlignment="1">
      <alignment wrapText="1"/>
    </xf>
    <xf numFmtId="167" fontId="0" fillId="0" borderId="32" xfId="1" applyFont="1" applyBorder="1"/>
    <xf numFmtId="10" fontId="0" fillId="0" borderId="32" xfId="2" applyNumberFormat="1" applyFont="1" applyBorder="1"/>
    <xf numFmtId="9" fontId="0" fillId="0" borderId="32" xfId="2" applyFont="1" applyBorder="1"/>
    <xf numFmtId="9" fontId="23" fillId="2" borderId="10" xfId="2" applyFont="1" applyFill="1" applyBorder="1" applyAlignment="1">
      <alignment wrapText="1"/>
    </xf>
    <xf numFmtId="9" fontId="25" fillId="2" borderId="0" xfId="2" applyFont="1" applyFill="1" applyBorder="1" applyAlignment="1">
      <alignment horizontal="center" wrapText="1"/>
    </xf>
    <xf numFmtId="165" fontId="0" fillId="0" borderId="32" xfId="1" applyNumberFormat="1" applyFont="1" applyBorder="1"/>
    <xf numFmtId="0" fontId="45" fillId="2" borderId="0" xfId="0" applyFont="1" applyFill="1"/>
    <xf numFmtId="9" fontId="46" fillId="2" borderId="0" xfId="0" applyNumberFormat="1" applyFont="1" applyFill="1"/>
    <xf numFmtId="0" fontId="0" fillId="2" borderId="32" xfId="0" applyFill="1" applyBorder="1"/>
    <xf numFmtId="9" fontId="23" fillId="2" borderId="33" xfId="2" applyFont="1" applyFill="1" applyBorder="1" applyAlignment="1">
      <alignment wrapText="1"/>
    </xf>
    <xf numFmtId="0" fontId="0" fillId="2" borderId="0" xfId="0" applyFill="1" applyAlignment="1">
      <alignment horizontal="center" vertical="center"/>
    </xf>
    <xf numFmtId="0" fontId="43" fillId="0" borderId="32" xfId="0" applyFont="1" applyBorder="1" applyAlignment="1">
      <alignment horizontal="center" vertical="center" wrapText="1"/>
    </xf>
    <xf numFmtId="0" fontId="0" fillId="0" borderId="0" xfId="0" applyAlignment="1">
      <alignment horizontal="center" vertical="center"/>
    </xf>
    <xf numFmtId="165" fontId="0" fillId="0" borderId="32" xfId="2" applyNumberFormat="1" applyFont="1" applyBorder="1"/>
    <xf numFmtId="0" fontId="40" fillId="2" borderId="0" xfId="0" applyFont="1" applyFill="1" applyAlignment="1">
      <alignment horizontal="left"/>
    </xf>
    <xf numFmtId="9" fontId="0" fillId="0" borderId="0" xfId="2" applyFont="1" applyFill="1" applyBorder="1"/>
    <xf numFmtId="167" fontId="0" fillId="0" borderId="0" xfId="1" applyFont="1"/>
    <xf numFmtId="1" fontId="0" fillId="0" borderId="32" xfId="2" applyNumberFormat="1" applyFont="1" applyBorder="1"/>
    <xf numFmtId="2" fontId="0" fillId="0" borderId="32" xfId="2" applyNumberFormat="1" applyFont="1" applyBorder="1"/>
    <xf numFmtId="167" fontId="0" fillId="0" borderId="0" xfId="1" applyFont="1" applyFill="1"/>
    <xf numFmtId="167" fontId="0" fillId="2" borderId="32" xfId="1" applyFont="1" applyFill="1" applyBorder="1"/>
    <xf numFmtId="168" fontId="0" fillId="0" borderId="32" xfId="1" applyNumberFormat="1" applyFont="1" applyBorder="1"/>
    <xf numFmtId="0" fontId="0" fillId="0" borderId="25" xfId="0" applyBorder="1"/>
    <xf numFmtId="169" fontId="0" fillId="0" borderId="0" xfId="1" applyNumberFormat="1" applyFont="1" applyFill="1" applyBorder="1"/>
    <xf numFmtId="14" fontId="0" fillId="2" borderId="0" xfId="0" applyNumberFormat="1" applyFill="1"/>
    <xf numFmtId="167" fontId="3" fillId="2" borderId="26" xfId="1" applyFont="1" applyFill="1" applyBorder="1"/>
    <xf numFmtId="0" fontId="3" fillId="2" borderId="24" xfId="0" applyFont="1" applyFill="1" applyBorder="1"/>
    <xf numFmtId="0" fontId="28" fillId="2" borderId="7" xfId="0" applyFont="1" applyFill="1" applyBorder="1"/>
    <xf numFmtId="0" fontId="0" fillId="2" borderId="25" xfId="0" applyFill="1" applyBorder="1" applyAlignment="1">
      <alignment wrapText="1"/>
    </xf>
    <xf numFmtId="167" fontId="3" fillId="2" borderId="36" xfId="1" applyFont="1" applyFill="1" applyBorder="1"/>
    <xf numFmtId="167" fontId="3" fillId="2" borderId="0" xfId="1" applyFont="1" applyFill="1" applyBorder="1"/>
    <xf numFmtId="0" fontId="41" fillId="2" borderId="12" xfId="0" applyFont="1" applyFill="1" applyBorder="1" applyAlignment="1">
      <alignment wrapText="1"/>
    </xf>
    <xf numFmtId="9" fontId="3" fillId="2" borderId="0" xfId="2" applyFont="1" applyFill="1" applyBorder="1"/>
    <xf numFmtId="167" fontId="3" fillId="2" borderId="0" xfId="1" applyFont="1" applyFill="1"/>
    <xf numFmtId="0" fontId="41" fillId="2" borderId="0" xfId="0" applyFont="1" applyFill="1" applyAlignment="1">
      <alignment wrapText="1"/>
    </xf>
    <xf numFmtId="0" fontId="3" fillId="0" borderId="37" xfId="0" applyFont="1" applyBorder="1" applyAlignment="1">
      <alignment wrapText="1"/>
    </xf>
    <xf numFmtId="0" fontId="3" fillId="0" borderId="37" xfId="0" applyFont="1" applyBorder="1"/>
    <xf numFmtId="167" fontId="3" fillId="5" borderId="0" xfId="0" applyNumberFormat="1" applyFont="1" applyFill="1"/>
    <xf numFmtId="0" fontId="42" fillId="16" borderId="33" xfId="0" applyFont="1" applyFill="1" applyBorder="1" applyAlignment="1">
      <alignment horizontal="center"/>
    </xf>
    <xf numFmtId="10" fontId="0" fillId="2" borderId="32" xfId="2" applyNumberFormat="1" applyFont="1" applyFill="1" applyBorder="1"/>
    <xf numFmtId="10" fontId="3" fillId="2" borderId="10" xfId="0" applyNumberFormat="1" applyFont="1" applyFill="1" applyBorder="1"/>
    <xf numFmtId="0" fontId="0" fillId="17" borderId="0" xfId="0" applyFill="1"/>
    <xf numFmtId="173" fontId="0" fillId="2" borderId="0" xfId="0" applyNumberFormat="1" applyFill="1"/>
    <xf numFmtId="170" fontId="0" fillId="2" borderId="39" xfId="1" applyNumberFormat="1" applyFont="1" applyFill="1" applyBorder="1"/>
    <xf numFmtId="174" fontId="0" fillId="2" borderId="10" xfId="1" applyNumberFormat="1" applyFont="1" applyFill="1" applyBorder="1"/>
    <xf numFmtId="173" fontId="0" fillId="2" borderId="33" xfId="0" applyNumberFormat="1" applyFill="1" applyBorder="1"/>
    <xf numFmtId="175" fontId="0" fillId="2" borderId="10" xfId="0" applyNumberFormat="1" applyFill="1" applyBorder="1"/>
    <xf numFmtId="0" fontId="36" fillId="2" borderId="0" xfId="0" applyFont="1" applyFill="1"/>
    <xf numFmtId="1" fontId="0" fillId="2" borderId="33" xfId="0" applyNumberFormat="1" applyFill="1" applyBorder="1"/>
    <xf numFmtId="0" fontId="49" fillId="0" borderId="7" xfId="0" applyFont="1" applyBorder="1"/>
    <xf numFmtId="167" fontId="3" fillId="5" borderId="2" xfId="0" applyNumberFormat="1" applyFont="1" applyFill="1" applyBorder="1" applyAlignment="1">
      <alignment wrapText="1"/>
    </xf>
    <xf numFmtId="167" fontId="3" fillId="5" borderId="0" xfId="0" applyNumberFormat="1" applyFont="1" applyFill="1" applyAlignment="1">
      <alignment wrapText="1"/>
    </xf>
    <xf numFmtId="0" fontId="50" fillId="5" borderId="0" xfId="0" applyFont="1" applyFill="1"/>
    <xf numFmtId="0" fontId="13" fillId="5" borderId="0" xfId="0" applyFont="1" applyFill="1"/>
    <xf numFmtId="0" fontId="3" fillId="5" borderId="0" xfId="0" applyFont="1" applyFill="1"/>
    <xf numFmtId="9" fontId="51" fillId="18" borderId="0" xfId="0" applyNumberFormat="1" applyFont="1" applyFill="1"/>
    <xf numFmtId="0" fontId="13" fillId="18" borderId="0" xfId="0" applyFont="1" applyFill="1"/>
    <xf numFmtId="9" fontId="52" fillId="18" borderId="0" xfId="0" applyNumberFormat="1" applyFont="1" applyFill="1"/>
    <xf numFmtId="9" fontId="53" fillId="2" borderId="0" xfId="2" applyFont="1" applyFill="1" applyBorder="1" applyAlignment="1">
      <alignment horizontal="center" wrapText="1"/>
    </xf>
    <xf numFmtId="9" fontId="19" fillId="2" borderId="0" xfId="2" applyFont="1" applyFill="1" applyBorder="1" applyAlignment="1">
      <alignment horizontal="left" wrapText="1"/>
    </xf>
    <xf numFmtId="9" fontId="24" fillId="2" borderId="0" xfId="2" applyFont="1" applyFill="1" applyBorder="1" applyAlignment="1">
      <alignment horizontal="center" wrapText="1"/>
    </xf>
    <xf numFmtId="9" fontId="36" fillId="2" borderId="16" xfId="2" applyFont="1" applyFill="1" applyBorder="1" applyAlignment="1">
      <alignment horizontal="center" wrapText="1"/>
    </xf>
    <xf numFmtId="9" fontId="16" fillId="2" borderId="16" xfId="2" applyFont="1" applyFill="1" applyBorder="1" applyAlignment="1">
      <alignment horizontal="center" wrapText="1"/>
    </xf>
    <xf numFmtId="9" fontId="44" fillId="2" borderId="0" xfId="2" applyFont="1" applyFill="1" applyBorder="1" applyAlignment="1">
      <alignment horizontal="left" wrapText="1"/>
    </xf>
    <xf numFmtId="0" fontId="36" fillId="2" borderId="16" xfId="0" applyFont="1" applyFill="1" applyBorder="1" applyAlignment="1">
      <alignment horizontal="center" wrapText="1"/>
    </xf>
    <xf numFmtId="0" fontId="53" fillId="2" borderId="15" xfId="0" applyFont="1" applyFill="1" applyBorder="1" applyAlignment="1">
      <alignment horizontal="center"/>
    </xf>
    <xf numFmtId="0" fontId="45" fillId="2" borderId="0" xfId="0" applyFont="1" applyFill="1" applyAlignment="1">
      <alignment horizontal="center" wrapText="1"/>
    </xf>
    <xf numFmtId="0" fontId="2" fillId="2" borderId="0" xfId="0" applyFont="1" applyFill="1" applyAlignment="1">
      <alignment horizontal="center" vertical="top" wrapText="1"/>
    </xf>
    <xf numFmtId="0" fontId="2" fillId="2" borderId="9" xfId="0" applyFont="1" applyFill="1" applyBorder="1" applyAlignment="1">
      <alignment horizontal="center" vertical="center" wrapText="1"/>
    </xf>
    <xf numFmtId="0" fontId="42" fillId="16" borderId="33" xfId="0" applyFont="1" applyFill="1" applyBorder="1" applyAlignment="1">
      <alignment horizontal="center"/>
    </xf>
    <xf numFmtId="0" fontId="42" fillId="15" borderId="38" xfId="0" applyFont="1" applyFill="1" applyBorder="1" applyAlignment="1">
      <alignment horizontal="center"/>
    </xf>
    <xf numFmtId="0" fontId="42" fillId="15" borderId="0" xfId="0" applyFont="1" applyFill="1" applyAlignment="1">
      <alignment horizontal="center"/>
    </xf>
    <xf numFmtId="0" fontId="42" fillId="14" borderId="35" xfId="0" applyFont="1" applyFill="1" applyBorder="1" applyAlignment="1">
      <alignment horizontal="center"/>
    </xf>
    <xf numFmtId="0" fontId="42" fillId="14" borderId="33" xfId="0" applyFont="1" applyFill="1" applyBorder="1" applyAlignment="1">
      <alignment horizontal="center"/>
    </xf>
    <xf numFmtId="0" fontId="42" fillId="14" borderId="34" xfId="0" applyFont="1" applyFill="1" applyBorder="1" applyAlignment="1">
      <alignment horizontal="center"/>
    </xf>
    <xf numFmtId="0" fontId="42" fillId="13" borderId="33" xfId="0" applyFont="1" applyFill="1" applyBorder="1" applyAlignment="1">
      <alignment horizontal="center"/>
    </xf>
    <xf numFmtId="0" fontId="42" fillId="13" borderId="34" xfId="0" applyFont="1" applyFill="1" applyBorder="1" applyAlignment="1">
      <alignment horizontal="center"/>
    </xf>
    <xf numFmtId="0" fontId="40" fillId="2" borderId="0" xfId="0" applyFont="1" applyFill="1" applyAlignment="1">
      <alignment horizontal="left"/>
    </xf>
    <xf numFmtId="0" fontId="42" fillId="15" borderId="35" xfId="0" applyFont="1" applyFill="1" applyBorder="1" applyAlignment="1">
      <alignment horizontal="center"/>
    </xf>
    <xf numFmtId="0" fontId="42" fillId="15" borderId="33" xfId="0" applyFont="1" applyFill="1" applyBorder="1" applyAlignment="1">
      <alignment horizontal="center"/>
    </xf>
    <xf numFmtId="0" fontId="0" fillId="0" borderId="0" xfId="0" applyAlignment="1"/>
  </cellXfs>
  <cellStyles count="4">
    <cellStyle name="Accent5" xfId="3" builtinId="45"/>
    <cellStyle name="Currency" xfId="1" builtinId="4"/>
    <cellStyle name="Normal" xfId="0" builtinId="0"/>
    <cellStyle name="Percent" xfId="2" builtinId="5"/>
  </cellStyles>
  <dxfs count="117">
    <dxf>
      <font>
        <b val="0"/>
        <i val="0"/>
        <strike val="0"/>
        <condense val="0"/>
        <extend val="0"/>
        <outline val="0"/>
        <shadow val="0"/>
        <u val="none"/>
        <vertAlign val="baseline"/>
        <sz val="12"/>
        <color theme="1"/>
        <name val="Calibri"/>
        <family val="2"/>
        <scheme val="minor"/>
      </font>
      <numFmt numFmtId="167" formatCode="_-&quot;$&quot;\ * #,##0.00_-;\-&quot;$&quot;\ * #,##0.00_-;_-&quot;$&quot;\ * &quot;-&quot;??_-;_-@_-"/>
      <fill>
        <patternFill patternType="solid">
          <fgColor indexed="64"/>
          <bgColor theme="0"/>
        </patternFill>
      </fill>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164" formatCode="&quot;$&quot;\ #,##0;[Red]\-&quot;$&quot;\ #,##0"/>
      <fill>
        <patternFill patternType="solid">
          <fgColor indexed="64"/>
          <bgColor theme="0"/>
        </patternFill>
      </fill>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164" formatCode="&quot;$&quot;\ #,##0;[Red]\-&quot;$&quot;\ #,##0"/>
      <fill>
        <patternFill patternType="solid">
          <fgColor indexed="64"/>
          <bgColor theme="0"/>
        </patternFill>
      </fill>
      <border diagonalUp="0" diagonalDown="0">
        <left/>
        <right/>
        <top style="thin">
          <color theme="4"/>
        </top>
        <bottom/>
        <vertical/>
        <horizontal/>
      </border>
    </dxf>
    <dxf>
      <font>
        <b val="0"/>
        <i val="0"/>
        <strike val="0"/>
        <condense val="0"/>
        <extend val="0"/>
        <outline val="0"/>
        <shadow val="0"/>
        <u val="none"/>
        <vertAlign val="baseline"/>
        <sz val="12"/>
        <color theme="1"/>
        <name val="Calibri"/>
        <family val="2"/>
        <scheme val="minor"/>
      </font>
      <numFmt numFmtId="167" formatCode="_-&quot;$&quot;\ * #,##0.00_-;\-&quot;$&quot;\ * #,##0.00_-;_-&quot;$&quot;\ * &quot;-&quot;??_-;_-@_-"/>
      <fill>
        <patternFill patternType="solid">
          <fgColor indexed="64"/>
          <bgColor rgb="FFFFFF00"/>
        </patternFill>
      </fill>
      <alignment horizontal="general" vertical="bottom" textRotation="0" wrapText="1" indent="0" justifyLastLine="0" shrinkToFit="0" readingOrder="0"/>
      <border diagonalUp="0" diagonalDown="0">
        <left/>
        <right/>
        <top style="thin">
          <color theme="4"/>
        </top>
        <bottom/>
        <vertical/>
        <horizontal/>
      </border>
    </dxf>
    <dxf>
      <border outline="0">
        <left style="thin">
          <color theme="4"/>
        </left>
        <top style="thin">
          <color theme="4"/>
        </top>
        <bottom style="thin">
          <color theme="4"/>
        </bottom>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numFmt numFmtId="13" formatCode="0%"/>
    </dxf>
    <dxf>
      <numFmt numFmtId="167" formatCode="_-&quot;$&quot;\ * #,##0.00_-;\-&quot;$&quot;\ * #,##0.00_-;_-&quot;$&quot;\ * &quot;-&quot;??_-;_-@_-"/>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i/>
        <strike val="0"/>
        <condense val="0"/>
        <extend val="0"/>
        <outline val="0"/>
        <shadow val="0"/>
        <u val="none"/>
        <vertAlign val="baseline"/>
        <sz val="12"/>
        <color theme="0"/>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outline="0">
        <left style="thin">
          <color rgb="FFB9193B"/>
        </left>
        <right style="thin">
          <color rgb="FFB9193B"/>
        </right>
        <top/>
        <bottom/>
      </border>
    </dxf>
    <dxf>
      <font>
        <b val="0"/>
        <i val="0"/>
        <strike val="0"/>
        <condense val="0"/>
        <extend val="0"/>
        <outline val="0"/>
        <shadow val="0"/>
        <u val="none"/>
        <vertAlign val="baseline"/>
        <sz val="12"/>
        <color theme="1"/>
        <name val="Calibri"/>
        <family val="2"/>
        <scheme val="minor"/>
      </font>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numFmt numFmtId="167" formatCode="_-&quot;$&quot;\ * #,##0.00_-;\-&quot;$&quot;\ * #,##0.00_-;_-&quot;$&quot;\ * &quot;-&quot;??_-;_-@_-"/>
      <fill>
        <patternFill patternType="solid">
          <fgColor indexed="64"/>
          <bgColor rgb="FFFFFF00"/>
        </patternFill>
      </fill>
    </dxf>
    <dxf>
      <font>
        <b val="0"/>
        <i val="0"/>
        <strike val="0"/>
        <condense val="0"/>
        <extend val="0"/>
        <outline val="0"/>
        <shadow val="0"/>
        <u val="none"/>
        <vertAlign val="baseline"/>
        <sz val="12"/>
        <color theme="1"/>
        <name val="Calibri"/>
        <family val="2"/>
        <scheme val="minor"/>
      </font>
      <numFmt numFmtId="167" formatCode="_-&quot;$&quot;\ * #,##0.00_-;\-&quot;$&quot;\ * #,##0.00_-;_-&quot;$&quot;\ * &quot;-&quot;??_-;_-@_-"/>
      <fill>
        <patternFill patternType="solid">
          <fgColor indexed="64"/>
          <bgColor theme="0"/>
        </patternFill>
      </fill>
    </dxf>
    <dxf>
      <font>
        <b val="0"/>
        <i val="0"/>
        <strike val="0"/>
        <condense val="0"/>
        <extend val="0"/>
        <outline val="0"/>
        <shadow val="0"/>
        <u val="none"/>
        <vertAlign val="baseline"/>
        <sz val="12"/>
        <color theme="1"/>
        <name val="Calibri"/>
        <family val="2"/>
        <scheme val="minor"/>
      </font>
      <numFmt numFmtId="164" formatCode="&quot;$&quot;\ #,##0;[Red]\-&quot;$&quot;\ #,##0"/>
      <fill>
        <patternFill patternType="solid">
          <fgColor indexed="64"/>
          <bgColor theme="0"/>
        </patternFill>
      </fill>
    </dxf>
    <dxf>
      <font>
        <b val="0"/>
        <i val="0"/>
        <strike val="0"/>
        <condense val="0"/>
        <extend val="0"/>
        <outline val="0"/>
        <shadow val="0"/>
        <u val="none"/>
        <vertAlign val="baseline"/>
        <sz val="12"/>
        <color theme="1"/>
        <name val="Calibri"/>
        <family val="2"/>
        <scheme val="minor"/>
      </font>
      <fill>
        <patternFill patternType="solid">
          <fgColor indexed="64"/>
          <bgColor rgb="FFFFFF00"/>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indexed="64"/>
          <bgColor rgb="FFFF0000"/>
        </patternFill>
      </fill>
    </dxf>
    <dxf>
      <font>
        <b val="0"/>
        <i val="0"/>
        <strike val="0"/>
        <condense val="0"/>
        <extend val="0"/>
        <outline val="0"/>
        <shadow val="0"/>
        <u val="none"/>
        <vertAlign val="baseline"/>
        <sz val="12"/>
        <color theme="1"/>
        <name val="Calibri"/>
        <family val="2"/>
        <scheme val="minor"/>
      </font>
      <fill>
        <patternFill patternType="solid">
          <fgColor indexed="64"/>
          <bgColor rgb="FFB9193B"/>
        </patternFill>
      </fill>
      <alignment horizontal="center" vertical="center" textRotation="0" wrapText="1" indent="0" justifyLastLine="0" shrinkToFit="0" readingOrder="0"/>
    </dxf>
    <dxf>
      <font>
        <strike val="0"/>
        <outline val="0"/>
        <shadow val="0"/>
        <u val="none"/>
        <vertAlign val="baseline"/>
        <sz val="12"/>
        <color theme="1"/>
        <name val="Calibri"/>
        <family val="2"/>
        <scheme val="minor"/>
      </font>
      <numFmt numFmtId="13" formatCode="0%"/>
    </dxf>
    <dxf>
      <font>
        <b val="0"/>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ont>
        <strike val="0"/>
        <outline val="0"/>
        <shadow val="0"/>
        <u val="none"/>
        <vertAlign val="baseline"/>
        <sz val="12"/>
        <color theme="1"/>
        <name val="Calibri"/>
        <family val="2"/>
        <scheme val="minor"/>
      </font>
    </dxf>
    <dxf>
      <fill>
        <patternFill patternType="solid">
          <fgColor indexed="64"/>
          <bgColor rgb="FFB9193B"/>
        </patternFill>
      </fill>
      <alignment horizontal="center" vertical="bottom" textRotation="0" wrapText="1" indent="0" justifyLastLine="0" shrinkToFit="0" readingOrder="0"/>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alignment horizontal="general" vertical="bottom" textRotation="0" wrapText="1" indent="0" justifyLastLine="0" shrinkToFit="0" readingOrder="0"/>
    </dxf>
    <dxf>
      <font>
        <strike val="0"/>
        <outline val="0"/>
        <shadow val="0"/>
        <u val="none"/>
        <vertAlign val="baseline"/>
        <sz val="12"/>
        <color theme="1"/>
        <name val="Calibri"/>
        <family val="2"/>
        <scheme val="minor"/>
      </font>
    </dxf>
    <dxf>
      <fill>
        <patternFill patternType="solid">
          <fgColor indexed="64"/>
          <bgColor rgb="FFB9193B"/>
        </patternFill>
      </fill>
      <alignment horizontal="center" vertical="bottom" textRotation="0" indent="0" justifyLastLine="0" shrinkToFit="0" readingOrder="0"/>
    </dxf>
    <dxf>
      <numFmt numFmtId="167" formatCode="_-&quot;$&quot;\ * #,##0.00_-;\-&quot;$&quot;\ * #,##0.00_-;_-&quot;$&quot;\ * &quot;-&quot;??_-;_-@_-"/>
    </dxf>
    <dxf>
      <font>
        <b val="0"/>
        <i val="0"/>
        <strike val="0"/>
        <condense val="0"/>
        <extend val="0"/>
        <outline val="0"/>
        <shadow val="0"/>
        <u val="none"/>
        <vertAlign val="baseline"/>
        <sz val="11"/>
        <color theme="1"/>
        <name val="Calibri"/>
        <family val="2"/>
        <scheme val="minor"/>
      </font>
      <numFmt numFmtId="167" formatCode="_-&quot;$&quot;\ * #,##0.00_-;\-&quot;$&quot;\ * #,##0.00_-;_-&quot;$&quot;\ * &quot;-&quot;??_-;_-@_-"/>
      <border diagonalUp="0" diagonalDown="0">
        <left/>
        <right style="thin">
          <color theme="4" tint="0.39994506668294322"/>
        </right>
        <top style="thin">
          <color theme="4" tint="0.39994506668294322"/>
        </top>
        <bottom style="thin">
          <color theme="4" tint="0.39994506668294322"/>
        </bottom>
      </border>
    </dxf>
    <dxf>
      <font>
        <b val="0"/>
        <i/>
        <strike val="0"/>
        <condense val="0"/>
        <extend val="0"/>
        <outline val="0"/>
        <shadow val="0"/>
        <u val="none"/>
        <vertAlign val="baseline"/>
        <sz val="12"/>
        <color theme="2" tint="-0.749992370372631"/>
        <name val="Calibri"/>
        <family val="2"/>
        <scheme val="minor"/>
      </font>
      <fill>
        <patternFill patternType="none">
          <fgColor indexed="64"/>
          <bgColor indexed="65"/>
        </patternFill>
      </fill>
      <border diagonalUp="0" diagonalDown="0">
        <left/>
        <right/>
        <top style="thin">
          <color theme="4" tint="0.39994506668294322"/>
        </top>
        <bottom style="thin">
          <color theme="4" tint="0.39994506668294322"/>
        </bottom>
      </border>
    </dxf>
    <dxf>
      <font>
        <b val="0"/>
        <i val="0"/>
        <strike val="0"/>
        <condense val="0"/>
        <extend val="0"/>
        <outline val="0"/>
        <shadow val="0"/>
        <u val="none"/>
        <vertAlign val="baseline"/>
        <sz val="12"/>
        <color theme="1"/>
        <name val="Calibri"/>
        <family val="2"/>
        <scheme val="minor"/>
      </font>
      <border diagonalUp="0" diagonalDown="0">
        <left style="thin">
          <color theme="4" tint="0.39994506668294322"/>
        </left>
        <right/>
        <top style="thin">
          <color theme="4" tint="0.39994506668294322"/>
        </top>
        <bottom style="thin">
          <color theme="4" tint="0.39994506668294322"/>
        </bottom>
      </border>
    </dxf>
    <dxf>
      <border outline="0">
        <right style="thin">
          <color theme="4" tint="0.39994506668294322"/>
        </right>
        <top style="thin">
          <color theme="4" tint="0.39994506668294322"/>
        </top>
        <bottom style="thin">
          <color theme="4" tint="0.39994506668294322"/>
        </bottom>
      </border>
    </dxf>
    <dxf>
      <font>
        <i val="0"/>
      </font>
    </dxf>
    <dxf>
      <font>
        <b val="0"/>
        <i val="0"/>
        <strike val="0"/>
        <condense val="0"/>
        <extend val="0"/>
        <outline val="0"/>
        <shadow val="0"/>
        <u val="none"/>
        <vertAlign val="baseline"/>
        <sz val="12"/>
        <color theme="1"/>
        <name val="Calibri"/>
        <family val="2"/>
        <scheme val="minor"/>
      </font>
      <numFmt numFmtId="167" formatCode="_-&quot;$&quot;\ * #,##0.00_-;\-&quot;$&quot;\ * #,##0.00_-;_-&quot;$&quot;\ * &quot;-&quot;??_-;_-@_-"/>
      <border diagonalUp="0" diagonalDown="0">
        <left/>
        <right/>
        <top style="thin">
          <color theme="8"/>
        </top>
        <bottom/>
        <vertical/>
        <horizontal/>
      </border>
    </dxf>
    <dxf>
      <font>
        <b val="0"/>
        <i val="0"/>
        <strike val="0"/>
        <condense val="0"/>
        <extend val="0"/>
        <outline val="0"/>
        <shadow val="0"/>
        <u val="none"/>
        <vertAlign val="baseline"/>
        <sz val="12"/>
        <color theme="1"/>
        <name val="Calibri"/>
        <family val="2"/>
        <scheme val="minor"/>
      </font>
      <numFmt numFmtId="167" formatCode="_-&quot;$&quot;\ * #,##0.00_-;\-&quot;$&quot;\ * #,##0.00_-;_-&quot;$&quot;\ * &quot;-&quot;??_-;_-@_-"/>
      <border diagonalUp="0" diagonalDown="0">
        <left/>
        <right/>
        <top style="thin">
          <color theme="8"/>
        </top>
        <bottom/>
        <vertical/>
        <horizontal/>
      </border>
    </dxf>
    <dxf>
      <font>
        <b val="0"/>
        <i val="0"/>
        <strike val="0"/>
        <condense val="0"/>
        <extend val="0"/>
        <outline val="0"/>
        <shadow val="0"/>
        <u val="none"/>
        <vertAlign val="baseline"/>
        <sz val="12"/>
        <color theme="1"/>
        <name val="Calibri"/>
        <family val="2"/>
        <scheme val="minor"/>
      </font>
      <numFmt numFmtId="167" formatCode="_-&quot;$&quot;\ * #,##0.00_-;\-&quot;$&quot;\ * #,##0.00_-;_-&quot;$&quot;\ * &quot;-&quot;??_-;_-@_-"/>
      <border diagonalUp="0" diagonalDown="0">
        <left/>
        <right/>
        <top style="thin">
          <color theme="8"/>
        </top>
        <bottom/>
        <vertical/>
        <horizontal/>
      </border>
    </dxf>
    <dxf>
      <font>
        <b val="0"/>
        <i val="0"/>
        <strike val="0"/>
        <condense val="0"/>
        <extend val="0"/>
        <outline val="0"/>
        <shadow val="0"/>
        <u val="none"/>
        <vertAlign val="baseline"/>
        <sz val="12"/>
        <color theme="1"/>
        <name val="Calibri"/>
        <family val="2"/>
        <scheme val="minor"/>
      </font>
      <numFmt numFmtId="167" formatCode="_-&quot;$&quot;\ * #,##0.00_-;\-&quot;$&quot;\ * #,##0.00_-;_-&quot;$&quot;\ * &quot;-&quot;??_-;_-@_-"/>
      <fill>
        <patternFill patternType="solid">
          <fgColor indexed="64"/>
          <bgColor theme="0"/>
        </patternFill>
      </fill>
      <border diagonalUp="0" diagonalDown="0">
        <left/>
        <right/>
        <top style="thin">
          <color theme="8"/>
        </top>
        <bottom/>
        <vertical/>
        <horizontal/>
      </border>
    </dxf>
    <dxf>
      <font>
        <b val="0"/>
        <i/>
        <strike val="0"/>
        <condense val="0"/>
        <extend val="0"/>
        <outline val="0"/>
        <shadow val="0"/>
        <u val="none"/>
        <vertAlign val="baseline"/>
        <sz val="8"/>
        <color theme="1"/>
        <name val="Calibri"/>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2"/>
        <color theme="1"/>
        <name val="Calibri"/>
        <family val="2"/>
        <scheme val="minor"/>
      </font>
      <border diagonalUp="0" diagonalDown="0">
        <left/>
        <right/>
        <top style="thin">
          <color theme="8"/>
        </top>
        <bottom/>
        <vertical/>
        <horizontal/>
      </border>
    </dxf>
    <dxf>
      <border outline="0">
        <left style="thin">
          <color theme="8"/>
        </left>
        <right style="thin">
          <color theme="8"/>
        </right>
        <top style="thin">
          <color theme="8"/>
        </top>
      </border>
    </dxf>
    <dxf>
      <font>
        <b val="0"/>
        <i val="0"/>
        <strike val="0"/>
        <condense val="0"/>
        <extend val="0"/>
        <outline val="0"/>
        <shadow val="0"/>
        <u val="none"/>
        <vertAlign val="baseline"/>
        <sz val="12"/>
        <color theme="1"/>
        <name val="Calibri"/>
        <family val="2"/>
        <scheme val="minor"/>
      </font>
    </dxf>
    <dxf>
      <font>
        <b/>
        <i val="0"/>
        <strike val="0"/>
        <condense val="0"/>
        <extend val="0"/>
        <outline val="0"/>
        <shadow val="0"/>
        <u val="none"/>
        <vertAlign val="baseline"/>
        <sz val="12"/>
        <color theme="0"/>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outline="0">
        <left style="thin">
          <color rgb="FFB9193B"/>
        </left>
        <right style="thin">
          <color rgb="FFB9193B"/>
        </right>
        <top/>
        <bottom/>
      </border>
    </dxf>
    <dxf>
      <numFmt numFmtId="167" formatCode="_-&quot;$&quot;\ * #,##0.00_-;\-&quot;$&quot;\ * #,##0.00_-;_-&quot;$&quot;\ * &quot;-&quot;??_-;_-@_-"/>
    </dxf>
    <dxf>
      <font>
        <b val="0"/>
        <i val="0"/>
        <strike val="0"/>
        <condense val="0"/>
        <extend val="0"/>
        <outline val="0"/>
        <shadow val="0"/>
        <u val="none"/>
        <vertAlign val="baseline"/>
        <sz val="11"/>
        <color theme="1"/>
        <name val="Calibri"/>
        <family val="2"/>
        <scheme val="minor"/>
      </font>
      <numFmt numFmtId="167" formatCode="_-&quot;$&quot;\ * #,##0.00_-;\-&quot;$&quot;\ * #,##0.00_-;_-&quot;$&quot;\ * &quot;-&quot;??_-;_-@_-"/>
      <border diagonalUp="0" diagonalDown="0">
        <left/>
        <right style="thin">
          <color theme="4" tint="0.39994506668294322"/>
        </right>
        <top style="thin">
          <color theme="4" tint="0.39994506668294322"/>
        </top>
        <bottom style="thin">
          <color theme="4" tint="0.39994506668294322"/>
        </bottom>
      </border>
    </dxf>
    <dxf>
      <font>
        <b val="0"/>
        <i/>
        <strike val="0"/>
        <condense val="0"/>
        <extend val="0"/>
        <outline val="0"/>
        <shadow val="0"/>
        <u val="none"/>
        <vertAlign val="baseline"/>
        <sz val="12"/>
        <color theme="2" tint="-0.749992370372631"/>
        <name val="Calibri"/>
        <family val="2"/>
        <scheme val="minor"/>
      </font>
      <fill>
        <patternFill patternType="none">
          <fgColor indexed="64"/>
          <bgColor indexed="65"/>
        </patternFill>
      </fill>
      <border diagonalUp="0" diagonalDown="0">
        <left/>
        <right/>
        <top style="thin">
          <color theme="4" tint="0.39994506668294322"/>
        </top>
        <bottom style="thin">
          <color theme="4" tint="0.39994506668294322"/>
        </bottom>
      </border>
    </dxf>
    <dxf>
      <font>
        <b val="0"/>
        <i val="0"/>
        <strike val="0"/>
        <condense val="0"/>
        <extend val="0"/>
        <outline val="0"/>
        <shadow val="0"/>
        <u val="none"/>
        <vertAlign val="baseline"/>
        <sz val="12"/>
        <color theme="1"/>
        <name val="Calibri"/>
        <family val="2"/>
        <scheme val="minor"/>
      </font>
      <border diagonalUp="0" diagonalDown="0">
        <left style="thin">
          <color theme="4" tint="0.39994506668294322"/>
        </left>
        <right/>
        <top style="thin">
          <color theme="4" tint="0.39994506668294322"/>
        </top>
        <bottom style="thin">
          <color theme="4" tint="0.39994506668294322"/>
        </bottom>
      </border>
    </dxf>
    <dxf>
      <border outline="0">
        <right style="thin">
          <color theme="4" tint="0.39994506668294322"/>
        </right>
        <top style="thin">
          <color theme="4" tint="0.39994506668294322"/>
        </top>
        <bottom style="thin">
          <color theme="4" tint="0.39994506668294322"/>
        </bottom>
      </border>
    </dxf>
    <dxf>
      <font>
        <i val="0"/>
      </font>
    </dxf>
    <dxf>
      <numFmt numFmtId="167" formatCode="_-&quot;$&quot;\ * #,##0.00_-;\-&quot;$&quot;\ * #,##0.00_-;_-&quot;$&quot;\ * &quot;-&quot;??_-;_-@_-"/>
    </dxf>
    <dxf>
      <font>
        <b val="0"/>
        <i val="0"/>
        <strike val="0"/>
        <condense val="0"/>
        <extend val="0"/>
        <outline val="0"/>
        <shadow val="0"/>
        <u val="none"/>
        <vertAlign val="baseline"/>
        <sz val="11"/>
        <color theme="1"/>
        <name val="Calibri"/>
        <family val="2"/>
        <scheme val="minor"/>
      </font>
      <numFmt numFmtId="167" formatCode="_-&quot;$&quot;\ * #,##0.00_-;\-&quot;$&quot;\ * #,##0.00_-;_-&quot;$&quot;\ * &quot;-&quot;??_-;_-@_-"/>
      <border diagonalUp="0" diagonalDown="0">
        <left/>
        <right style="thin">
          <color theme="4" tint="0.39994506668294322"/>
        </right>
        <top style="thin">
          <color theme="4" tint="0.39994506668294322"/>
        </top>
        <bottom style="thin">
          <color theme="4" tint="0.39994506668294322"/>
        </bottom>
      </border>
    </dxf>
    <dxf>
      <font>
        <b val="0"/>
        <i/>
        <strike val="0"/>
        <condense val="0"/>
        <extend val="0"/>
        <outline val="0"/>
        <shadow val="0"/>
        <u val="none"/>
        <vertAlign val="baseline"/>
        <sz val="12"/>
        <color theme="2" tint="-0.749992370372631"/>
        <name val="Calibri"/>
        <family val="2"/>
        <scheme val="minor"/>
      </font>
      <fill>
        <patternFill patternType="none">
          <fgColor indexed="64"/>
          <bgColor indexed="65"/>
        </patternFill>
      </fill>
      <border diagonalUp="0" diagonalDown="0">
        <left/>
        <right/>
        <top style="thin">
          <color theme="4" tint="0.39994506668294322"/>
        </top>
        <bottom style="thin">
          <color theme="4" tint="0.39994506668294322"/>
        </bottom>
      </border>
    </dxf>
    <dxf>
      <font>
        <b val="0"/>
        <i val="0"/>
        <strike val="0"/>
        <condense val="0"/>
        <extend val="0"/>
        <outline val="0"/>
        <shadow val="0"/>
        <u val="none"/>
        <vertAlign val="baseline"/>
        <sz val="12"/>
        <color theme="1"/>
        <name val="Calibri"/>
        <family val="2"/>
        <scheme val="minor"/>
      </font>
      <border diagonalUp="0" diagonalDown="0">
        <left style="thin">
          <color theme="4" tint="0.39994506668294322"/>
        </left>
        <right/>
        <top style="thin">
          <color theme="4" tint="0.39994506668294322"/>
        </top>
        <bottom style="thin">
          <color theme="4" tint="0.39994506668294322"/>
        </bottom>
      </border>
    </dxf>
    <dxf>
      <border outline="0">
        <right style="thin">
          <color theme="4" tint="0.39994506668294322"/>
        </right>
        <top style="thin">
          <color theme="4" tint="0.39994506668294322"/>
        </top>
        <bottom style="thin">
          <color theme="4" tint="0.39994506668294322"/>
        </bottom>
      </border>
    </dxf>
    <dxf>
      <font>
        <b/>
        <i val="0"/>
        <strike val="0"/>
        <condense val="0"/>
        <extend val="0"/>
        <outline val="0"/>
        <shadow val="0"/>
        <u val="none"/>
        <vertAlign val="baseline"/>
        <sz val="12"/>
        <color theme="0"/>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outline="0">
        <left style="thin">
          <color rgb="FFB9193B"/>
        </left>
        <right style="thin">
          <color rgb="FFB9193B"/>
        </right>
        <top/>
        <bottom/>
      </border>
    </dxf>
    <dxf>
      <font>
        <b val="0"/>
        <i val="0"/>
        <strike val="0"/>
        <condense val="0"/>
        <extend val="0"/>
        <outline val="0"/>
        <shadow val="0"/>
        <u val="none"/>
        <vertAlign val="baseline"/>
        <sz val="11"/>
        <color theme="1"/>
        <name val="Calibri"/>
        <family val="2"/>
        <scheme val="minor"/>
      </font>
      <numFmt numFmtId="13" formatCode="0%"/>
      <fill>
        <patternFill patternType="solid">
          <fgColor indexed="64"/>
          <bgColor theme="0"/>
        </patternFill>
      </fill>
    </dxf>
    <dxf>
      <fill>
        <patternFill patternType="solid">
          <fgColor indexed="64"/>
          <bgColor theme="0"/>
        </patternFill>
      </fill>
    </dxf>
    <dxf>
      <fill>
        <patternFill patternType="solid">
          <fgColor indexed="64"/>
          <bgColor theme="0"/>
        </patternFill>
      </fill>
    </dxf>
    <dxf>
      <numFmt numFmtId="13" formatCode="0%"/>
      <fill>
        <patternFill patternType="solid">
          <fgColor indexed="64"/>
          <bgColor theme="0"/>
        </patternFill>
      </fill>
    </dxf>
    <dxf>
      <numFmt numFmtId="13" formatCode="0%"/>
      <fill>
        <patternFill patternType="solid">
          <fgColor indexed="64"/>
          <bgColor theme="0"/>
        </patternFill>
      </fill>
    </dxf>
    <dxf>
      <fill>
        <patternFill patternType="solid">
          <fgColor indexed="64"/>
          <bgColor theme="0"/>
        </patternFill>
      </fill>
    </dxf>
    <dxf>
      <border outline="0">
        <left style="thin">
          <color theme="8"/>
        </left>
      </border>
    </dxf>
    <dxf>
      <fill>
        <patternFill patternType="solid">
          <fgColor indexed="64"/>
          <bgColor theme="0"/>
        </patternFill>
      </fill>
    </dxf>
    <dxf>
      <numFmt numFmtId="0" formatCode="General"/>
      <fill>
        <patternFill patternType="solid">
          <fgColor indexed="64"/>
          <bgColor theme="0"/>
        </patternFill>
      </fill>
    </dxf>
    <dxf>
      <numFmt numFmtId="1" formatCode="0"/>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2"/>
        <color theme="1"/>
        <name val="Calibri"/>
        <family val="2"/>
        <scheme val="minor"/>
      </font>
      <numFmt numFmtId="167" formatCode="_-&quot;$&quot;\ * #,##0.00_-;\-&quot;$&quot;\ * #,##0.00_-;_-&quot;$&quot;\ * &quot;-&quot;??_-;_-@_-"/>
      <fill>
        <patternFill patternType="solid">
          <fgColor indexed="64"/>
          <bgColor theme="0"/>
        </patternFill>
      </fill>
      <border diagonalUp="0" diagonalDown="0">
        <left/>
        <right style="thin">
          <color theme="8"/>
        </right>
        <top style="thin">
          <color theme="8"/>
        </top>
        <bottom/>
        <vertical/>
        <horizontal/>
      </border>
    </dxf>
    <dxf>
      <font>
        <b val="0"/>
        <i/>
        <strike val="0"/>
        <condense val="0"/>
        <extend val="0"/>
        <outline val="0"/>
        <shadow val="0"/>
        <u val="none"/>
        <vertAlign val="baseline"/>
        <sz val="8"/>
        <color theme="1"/>
        <name val="Calibri"/>
        <family val="2"/>
        <scheme val="minor"/>
      </font>
      <alignment horizontal="general" vertical="bottom" textRotation="0" wrapText="1" indent="0" justifyLastLine="0" shrinkToFit="0" readingOrder="0"/>
      <border diagonalUp="0" diagonalDown="0">
        <left/>
        <right/>
        <top style="thin">
          <color theme="4" tint="0.39997558519241921"/>
        </top>
        <bottom/>
        <vertical/>
        <horizontal/>
      </border>
    </dxf>
    <dxf>
      <border outline="0">
        <left style="thin">
          <color theme="8"/>
        </left>
        <top style="thin">
          <color theme="8"/>
        </top>
      </border>
    </dxf>
    <dxf>
      <font>
        <b/>
        <i val="0"/>
        <strike val="0"/>
        <condense val="0"/>
        <extend val="0"/>
        <outline val="0"/>
        <shadow val="0"/>
        <u val="none"/>
        <vertAlign val="baseline"/>
        <sz val="12"/>
        <color theme="0"/>
        <name val="Calibri"/>
        <family val="2"/>
        <scheme val="minor"/>
      </font>
      <fill>
        <patternFill patternType="solid">
          <fgColor theme="8"/>
          <bgColor theme="8"/>
        </patternFill>
      </fill>
      <alignment horizontal="center" vertical="bottom" textRotation="0" wrapText="0" indent="0" justifyLastLine="0" shrinkToFit="0" readingOrder="0"/>
      <border diagonalUp="0" diagonalDown="0" outline="0">
        <left style="thin">
          <color theme="8"/>
        </left>
        <right style="thin">
          <color theme="8"/>
        </right>
        <top/>
        <bottom/>
      </border>
    </dxf>
    <dxf>
      <font>
        <b val="0"/>
        <i val="0"/>
        <strike val="0"/>
        <condense val="0"/>
        <extend val="0"/>
        <outline val="0"/>
        <shadow val="0"/>
        <u val="none"/>
        <vertAlign val="baseline"/>
        <sz val="11"/>
        <color theme="1"/>
        <name val="Calibri"/>
        <family val="2"/>
        <scheme val="minor"/>
      </font>
      <numFmt numFmtId="167" formatCode="_-&quot;$&quot;\ * #,##0.00_-;\-&quot;$&quot;\ * #,##0.00_-;_-&quot;$&quot;\ * &quot;-&quot;??_-;_-@_-"/>
      <fill>
        <patternFill patternType="none">
          <fgColor indexed="64"/>
          <bgColor indexed="65"/>
        </patternFill>
      </fill>
      <alignment horizontal="center" vertical="bottom" textRotation="0" wrapText="0" indent="0" justifyLastLine="0" shrinkToFit="0" readingOrder="0"/>
    </dxf>
    <dxf>
      <font>
        <b val="0"/>
        <i/>
        <strike val="0"/>
        <condense val="0"/>
        <extend val="0"/>
        <outline val="0"/>
        <shadow val="0"/>
        <u val="none"/>
        <vertAlign val="baseline"/>
        <sz val="8"/>
        <color theme="1"/>
        <name val="Calibri"/>
        <family val="2"/>
        <scheme val="minor"/>
      </font>
      <fill>
        <patternFill patternType="none">
          <fgColor indexed="64"/>
          <bgColor indexed="65"/>
        </patternFill>
      </fill>
      <alignment horizontal="general" vertical="bottom" textRotation="0" wrapText="1" indent="0" justifyLastLine="0" shrinkToFit="0" readingOrder="0"/>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numFmt numFmtId="167" formatCode="_-&quot;$&quot;\ * #,##0.00_-;\-&quot;$&quot;\ * #,##0.00_-;_-&quot;$&quot;\ * &quot;-&quot;??_-;_-@_-"/>
      <fill>
        <patternFill patternType="solid">
          <fgColor indexed="64"/>
          <bgColor theme="0"/>
        </patternFill>
      </fill>
    </dxf>
    <dxf>
      <font>
        <b val="0"/>
        <i/>
        <strike val="0"/>
        <condense val="0"/>
        <extend val="0"/>
        <outline val="0"/>
        <shadow val="0"/>
        <u val="none"/>
        <vertAlign val="baseline"/>
        <sz val="8"/>
        <color theme="1"/>
        <name val="Calibri"/>
        <family val="2"/>
        <scheme val="minor"/>
      </font>
      <fill>
        <patternFill patternType="none">
          <fgColor indexed="64"/>
          <bgColor indexed="65"/>
        </patternFill>
      </fill>
      <alignment horizontal="general" vertical="bottom" textRotation="0" wrapText="1" indent="0" justifyLastLine="0" shrinkToFit="0" readingOrder="0"/>
    </dxf>
    <dxf>
      <fill>
        <patternFill patternType="solid">
          <fgColor indexed="64"/>
          <bgColor theme="0"/>
        </patternFill>
      </fill>
    </dxf>
    <dxf>
      <font>
        <b val="0"/>
        <i val="0"/>
        <strike val="0"/>
        <condense val="0"/>
        <extend val="0"/>
        <outline val="0"/>
        <shadow val="0"/>
        <u val="none"/>
        <vertAlign val="baseline"/>
        <sz val="12"/>
        <color theme="1"/>
        <name val="Calibri"/>
        <family val="2"/>
        <scheme val="minor"/>
      </font>
      <fill>
        <patternFill patternType="solid">
          <fgColor indexed="64"/>
          <bgColor theme="4"/>
        </patternFill>
      </fill>
      <alignment horizontal="center" vertical="bottom" textRotation="0" wrapText="0" indent="0" justifyLastLine="0" shrinkToFit="0" readingOrder="0"/>
    </dxf>
    <dxf>
      <fill>
        <patternFill patternType="solid">
          <fgColor indexed="64"/>
          <bgColor theme="0"/>
        </patternFill>
      </fill>
      <border diagonalUp="0" diagonalDown="0">
        <left style="thin">
          <color theme="4" tint="0.39991454817346722"/>
        </left>
        <right style="thin">
          <color theme="4" tint="0.39991454817346722"/>
        </right>
        <vertical/>
      </border>
    </dxf>
    <dxf>
      <fill>
        <patternFill patternType="solid">
          <fgColor indexed="64"/>
          <bgColor theme="6" tint="0.79998168889431442"/>
        </patternFill>
      </fill>
      <border diagonalUp="0" diagonalDown="0" outline="0">
        <left style="thin">
          <color theme="4" tint="0.39991454817346722"/>
        </left>
        <right style="thin">
          <color theme="4" tint="0.39991454817346722"/>
        </right>
        <top style="thin">
          <color theme="4" tint="0.39991454817346722"/>
        </top>
        <bottom style="thin">
          <color theme="4" tint="0.39991454817346722"/>
        </bottom>
      </border>
    </dxf>
    <dxf>
      <fill>
        <patternFill patternType="solid">
          <fgColor indexed="64"/>
          <bgColor theme="0"/>
        </patternFill>
      </fill>
    </dxf>
    <dxf>
      <fill>
        <patternFill patternType="solid">
          <fgColor indexed="64"/>
          <bgColor theme="6" tint="0.79998168889431442"/>
        </patternFill>
      </fill>
      <border diagonalUp="0" diagonalDown="0" outline="0">
        <left style="thin">
          <color theme="4" tint="0.39991454817346722"/>
        </left>
        <right style="thin">
          <color theme="4" tint="0.39991454817346722"/>
        </right>
        <top style="thin">
          <color theme="4" tint="0.39991454817346722"/>
        </top>
        <bottom style="thin">
          <color theme="4" tint="0.39991454817346722"/>
        </bottom>
      </border>
    </dxf>
    <dxf>
      <fill>
        <patternFill patternType="none">
          <fgColor indexed="64"/>
          <bgColor auto="1"/>
        </patternFill>
      </fill>
      <border diagonalUp="0" diagonalDown="0">
        <left style="thin">
          <color theme="4" tint="0.39991454817346722"/>
        </left>
        <right style="thin">
          <color theme="4" tint="0.39991454817346722"/>
        </right>
        <vertical/>
      </border>
    </dxf>
    <dxf>
      <font>
        <b/>
        <i val="0"/>
        <strike val="0"/>
        <condense val="0"/>
        <extend val="0"/>
        <outline val="0"/>
        <shadow val="0"/>
        <u val="none"/>
        <vertAlign val="baseline"/>
        <sz val="11"/>
        <color theme="1"/>
        <name val="Calibri"/>
        <family val="2"/>
        <scheme val="minor"/>
      </font>
      <numFmt numFmtId="171" formatCode="#,##0.00_ ;[Red]\-#,##0.00\ "/>
      <fill>
        <patternFill patternType="solid">
          <fgColor indexed="64"/>
          <bgColor theme="6" tint="0.79998168889431442"/>
        </patternFill>
      </fill>
      <border diagonalUp="0" diagonalDown="0" outline="0">
        <left style="thin">
          <color theme="4" tint="0.39991454817346722"/>
        </left>
        <right style="thin">
          <color theme="4" tint="0.39991454817346722"/>
        </right>
        <top style="thin">
          <color theme="4" tint="0.39991454817346722"/>
        </top>
        <bottom style="thin">
          <color theme="4" tint="0.39991454817346722"/>
        </bottom>
      </border>
    </dxf>
    <dxf>
      <font>
        <i/>
        <sz val="8"/>
      </font>
      <fill>
        <patternFill patternType="solid">
          <fgColor indexed="64"/>
          <bgColor theme="6" tint="0.79998168889431442"/>
        </patternFill>
      </fill>
      <alignment horizontal="general" vertical="bottom" textRotation="0" wrapText="1" indent="0" justifyLastLine="0" shrinkToFit="0" readingOrder="0"/>
      <border diagonalUp="0" diagonalDown="0">
        <left/>
        <right/>
        <top style="thin">
          <color theme="4"/>
        </top>
        <bottom style="thin">
          <color theme="4"/>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border diagonalUp="0" diagonalDown="0" outline="0">
        <left style="thin">
          <color theme="4" tint="0.39991454817346722"/>
        </left>
        <right style="thin">
          <color theme="4" tint="0.39991454817346722"/>
        </right>
        <top style="thin">
          <color theme="4" tint="0.39991454817346722"/>
        </top>
        <bottom style="thin">
          <color theme="4" tint="0.39991454817346722"/>
        </bottom>
      </border>
    </dxf>
    <dxf>
      <font>
        <b val="0"/>
        <i val="0"/>
        <strike val="0"/>
        <condense val="0"/>
        <extend val="0"/>
        <outline val="0"/>
        <shadow val="0"/>
        <u val="none"/>
        <vertAlign val="baseline"/>
        <sz val="12"/>
        <color auto="1"/>
        <name val="Calibri"/>
        <family val="2"/>
        <scheme val="minor"/>
      </font>
    </dxf>
    <dxf>
      <font>
        <b/>
        <i val="0"/>
        <strike val="0"/>
        <condense val="0"/>
        <extend val="0"/>
        <outline val="0"/>
        <shadow val="0"/>
        <u val="none"/>
        <vertAlign val="baseline"/>
        <sz val="12"/>
        <color theme="1"/>
        <name val="Calibri"/>
        <family val="2"/>
        <scheme val="minor"/>
      </font>
      <fill>
        <patternFill patternType="solid">
          <fgColor indexed="64"/>
          <bgColor theme="6" tint="0.79998168889431442"/>
        </patternFill>
      </fill>
      <border diagonalUp="0" diagonalDown="0" outline="0">
        <left style="thin">
          <color theme="4" tint="0.39994506668294322"/>
        </left>
        <right style="thin">
          <color theme="4" tint="0.39991454817346722"/>
        </right>
        <top style="thin">
          <color theme="4" tint="0.39991454817346722"/>
        </top>
        <bottom style="thin">
          <color theme="4" tint="0.39991454817346722"/>
        </bottom>
      </border>
    </dxf>
    <dxf>
      <border outline="0">
        <top style="thin">
          <color theme="4" tint="0.39991454817346722"/>
        </top>
      </border>
    </dxf>
    <dxf>
      <border outline="0">
        <top style="thin">
          <color theme="4" tint="0.39994506668294322"/>
        </top>
      </border>
    </dxf>
    <dxf>
      <fill>
        <patternFill patternType="solid">
          <fgColor indexed="64"/>
          <bgColor theme="0"/>
        </patternFill>
      </fill>
    </dxf>
    <dxf>
      <font>
        <b/>
        <i val="0"/>
        <strike val="0"/>
        <condense val="0"/>
        <extend val="0"/>
        <outline val="0"/>
        <shadow val="0"/>
        <u val="none"/>
        <vertAlign val="baseline"/>
        <sz val="12"/>
        <color theme="0"/>
        <name val="Calibri"/>
        <family val="2"/>
        <scheme val="minor"/>
      </font>
      <fill>
        <patternFill patternType="solid">
          <fgColor indexed="64"/>
          <bgColor rgb="FFB9193B"/>
        </patternFill>
      </fill>
      <alignment horizontal="center" vertical="center" textRotation="0" wrapText="0" indent="0" justifyLastLine="0" shrinkToFit="0" readingOrder="0"/>
      <border diagonalUp="0" diagonalDown="0" outline="0">
        <left style="thin">
          <color rgb="FFB9193B"/>
        </left>
        <right style="thin">
          <color rgb="FFB9193B"/>
        </right>
        <top/>
        <bottom/>
      </border>
    </dxf>
    <dxf>
      <numFmt numFmtId="167" formatCode="_-&quot;$&quot;\ * #,##0.00_-;\-&quot;$&quot;\ * #,##0.00_-;_-&quot;$&quot;\ * &quot;-&quot;??_-;_-@_-"/>
    </dxf>
    <dxf>
      <numFmt numFmtId="167" formatCode="_-&quot;$&quot;\ * #,##0.00_-;\-&quot;$&quot;\ * #,##0.00_-;_-&quot;$&quot;\ * &quot;-&quot;??_-;_-@_-"/>
    </dxf>
    <dxf>
      <numFmt numFmtId="167" formatCode="_-&quot;$&quot;\ * #,##0.00_-;\-&quot;$&quot;\ * #,##0.00_-;_-&quot;$&quot;\ * &quot;-&quot;??_-;_-@_-"/>
    </dxf>
    <dxf>
      <font>
        <b val="0"/>
        <i/>
        <strike val="0"/>
        <condense val="0"/>
        <extend val="0"/>
        <outline val="0"/>
        <shadow val="0"/>
        <u val="none"/>
        <vertAlign val="baseline"/>
        <sz val="8"/>
        <color theme="1"/>
        <name val="Calibri"/>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2"/>
        <color theme="1"/>
        <name val="Calibri"/>
        <family val="2"/>
        <scheme val="minor"/>
      </font>
      <border diagonalUp="0" diagonalDown="0">
        <left style="thin">
          <color theme="4" tint="0.39994506668294322"/>
        </left>
        <right style="thin">
          <color theme="4" tint="0.39994506668294322"/>
        </right>
        <top style="thin">
          <color theme="4" tint="0.39994506668294322"/>
        </top>
        <bottom style="thin">
          <color theme="4" tint="0.39994506668294322"/>
        </bottom>
        <vertical/>
        <horizontal/>
      </border>
    </dxf>
    <dxf>
      <border diagonalUp="0" diagonalDown="0">
        <left style="thin">
          <color theme="4" tint="0.39991454817346722"/>
        </left>
        <right style="thin">
          <color theme="4" tint="0.39991454817346722"/>
        </right>
        <top style="thin">
          <color theme="4" tint="0.39991454817346722"/>
        </top>
        <bottom style="thin">
          <color theme="4" tint="0.39991454817346722"/>
        </bottom>
        <vertical style="thin">
          <color theme="4" tint="0.39991454817346722"/>
        </vertical>
        <horizontal style="thin">
          <color theme="4" tint="0.39991454817346722"/>
        </horizontal>
      </border>
    </dxf>
    <dxf>
      <border diagonalUp="0" diagonalDown="0">
        <left style="thin">
          <color theme="4" tint="0.39991454817346722"/>
        </left>
        <right style="thin">
          <color theme="4" tint="0.39991454817346722"/>
        </right>
        <top style="thin">
          <color theme="4" tint="0.39991454817346722"/>
        </top>
        <bottom style="thin">
          <color theme="4" tint="0.39991454817346722"/>
        </bottom>
        <vertical style="thin">
          <color theme="4" tint="0.39991454817346722"/>
        </vertical>
        <horizontal style="thin">
          <color theme="4" tint="0.39991454817346722"/>
        </horizontal>
      </border>
    </dxf>
    <dxf>
      <font>
        <b val="0"/>
        <i val="0"/>
        <strike val="0"/>
        <condense val="0"/>
        <extend val="0"/>
        <outline val="0"/>
        <shadow val="0"/>
        <u val="none"/>
        <vertAlign val="baseline"/>
        <sz val="11"/>
        <color theme="1"/>
        <name val="Calibri"/>
        <family val="2"/>
        <scheme val="minor"/>
      </font>
      <border diagonalUp="0" diagonalDown="0">
        <left style="thin">
          <color theme="4" tint="0.39991454817346722"/>
        </left>
        <right style="thin">
          <color theme="4" tint="0.39991454817346722"/>
        </right>
        <top style="thin">
          <color theme="4" tint="0.39991454817346722"/>
        </top>
        <bottom style="thin">
          <color theme="4" tint="0.39991454817346722"/>
        </bottom>
        <vertical style="thin">
          <color theme="4" tint="0.39991454817346722"/>
        </vertical>
        <horizontal style="thin">
          <color theme="4" tint="0.39991454817346722"/>
        </horizontal>
      </border>
    </dxf>
    <dxf>
      <font>
        <b val="0"/>
        <i val="0"/>
        <strike val="0"/>
        <condense val="0"/>
        <extend val="0"/>
        <outline val="0"/>
        <shadow val="0"/>
        <u val="none"/>
        <vertAlign val="baseline"/>
        <sz val="12"/>
        <color theme="2" tint="-0.749992370372631"/>
        <name val="Calibri"/>
        <family val="2"/>
        <scheme val="minor"/>
      </font>
      <fill>
        <patternFill patternType="none">
          <fgColor indexed="64"/>
          <bgColor indexed="65"/>
        </patternFill>
      </fill>
      <border diagonalUp="0" diagonalDown="0">
        <left style="thin">
          <color theme="4" tint="0.39991454817346722"/>
        </left>
        <right style="thin">
          <color theme="4" tint="0.39991454817346722"/>
        </right>
        <top style="thin">
          <color theme="4" tint="0.39991454817346722"/>
        </top>
        <bottom style="thin">
          <color theme="4" tint="0.39991454817346722"/>
        </bottom>
        <vertical style="thin">
          <color theme="4" tint="0.39991454817346722"/>
        </vertical>
        <horizontal style="thin">
          <color theme="4" tint="0.39991454817346722"/>
        </horizontal>
      </border>
    </dxf>
    <dxf>
      <font>
        <b val="0"/>
        <i val="0"/>
        <strike val="0"/>
        <condense val="0"/>
        <extend val="0"/>
        <outline val="0"/>
        <shadow val="0"/>
        <u val="none"/>
        <vertAlign val="baseline"/>
        <sz val="12"/>
        <color theme="1"/>
        <name val="Calibri"/>
        <family val="2"/>
        <scheme val="minor"/>
      </font>
      <border diagonalUp="0" diagonalDown="0">
        <left style="thin">
          <color theme="4" tint="0.39994506668294322"/>
        </left>
        <right style="thin">
          <color theme="4" tint="0.39991454817346722"/>
        </right>
        <top style="thin">
          <color theme="4" tint="0.39991454817346722"/>
        </top>
        <bottom style="thin">
          <color theme="4" tint="0.39991454817346722"/>
        </bottom>
        <vertical style="thin">
          <color theme="4" tint="0.39991454817346722"/>
        </vertical>
        <horizontal style="thin">
          <color theme="4" tint="0.39991454817346722"/>
        </horizontal>
      </border>
    </dxf>
    <dxf>
      <border outline="0">
        <right style="thin">
          <color theme="4" tint="0.39994506668294322"/>
        </right>
        <top style="thin">
          <color theme="4" tint="0.39994506668294322"/>
        </top>
        <bottom style="thin">
          <color theme="4" tint="0.39994506668294322"/>
        </bottom>
      </border>
    </dxf>
    <dxf>
      <font>
        <b/>
        <i val="0"/>
        <strike val="0"/>
        <condense val="0"/>
        <extend val="0"/>
        <outline val="0"/>
        <shadow val="0"/>
        <u val="none"/>
        <vertAlign val="baseline"/>
        <sz val="12"/>
        <color theme="0"/>
        <name val="Calibri"/>
        <family val="2"/>
        <scheme val="minor"/>
      </font>
      <fill>
        <patternFill patternType="solid">
          <fgColor indexed="64"/>
          <bgColor rgb="FFB9193B"/>
        </patternFill>
      </fill>
      <alignment horizontal="center" vertical="center" textRotation="0" wrapText="0" indent="0" justifyLastLine="0" shrinkToFit="0" readingOrder="0"/>
      <border diagonalUp="0" diagonalDown="0" outline="0">
        <left style="thin">
          <color rgb="FFB9193B"/>
        </left>
        <right style="thin">
          <color rgb="FFB9193B"/>
        </right>
        <top/>
        <bottom/>
      </border>
    </dxf>
    <dxf>
      <font>
        <b val="0"/>
        <i/>
        <strike val="0"/>
        <condense val="0"/>
        <extend val="0"/>
        <outline val="0"/>
        <shadow val="0"/>
        <u val="none"/>
        <vertAlign val="baseline"/>
        <sz val="8"/>
        <color theme="1"/>
        <name val="Calibri"/>
        <family val="2"/>
        <scheme val="minor"/>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2"/>
        <color theme="1"/>
        <name val="Calibri"/>
        <family val="2"/>
        <scheme val="minor"/>
      </font>
      <border diagonalUp="0" diagonalDown="0">
        <left style="thin">
          <color theme="4" tint="0.39997558519241921"/>
        </left>
        <right/>
        <top style="thin">
          <color theme="4" tint="0.39997558519241921"/>
        </top>
        <bottom style="thin">
          <color theme="4" tint="0.39997558519241921"/>
        </bottom>
        <vertical/>
        <horizontal/>
      </border>
    </dxf>
    <dxf>
      <font>
        <i val="0"/>
        <strike val="0"/>
        <outline val="0"/>
        <shadow val="0"/>
        <u val="none"/>
        <vertAlign val="baseline"/>
        <sz val="12"/>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strike val="0"/>
        <condense val="0"/>
        <extend val="0"/>
        <outline val="0"/>
        <shadow val="0"/>
        <u val="none"/>
        <vertAlign val="baseline"/>
        <sz val="8"/>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B9193B"/>
      <color rgb="FFFA6A6A"/>
      <color rgb="FFF83E3E"/>
      <color rgb="FFF7C1CD"/>
      <color rgb="FFFF9966"/>
      <color rgb="FFFA7272"/>
      <color rgb="FFE11143"/>
      <color rgb="FFE81693"/>
      <color rgb="FFF9CFF5"/>
      <color rgb="FFF9D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'To graph'!$C$39</c:f>
              <c:strCache>
                <c:ptCount val="1"/>
                <c:pt idx="0">
                  <c:v>TCO/ year reduction($)</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 graph'!$E$38:$H$38</c:f>
              <c:strCache>
                <c:ptCount val="4"/>
                <c:pt idx="0">
                  <c:v>0</c:v>
                </c:pt>
                <c:pt idx="1">
                  <c:v>1  [$]</c:v>
                </c:pt>
                <c:pt idx="2">
                  <c:v>2  [$]</c:v>
                </c:pt>
                <c:pt idx="3">
                  <c:v>3  [$]</c:v>
                </c:pt>
              </c:strCache>
            </c:strRef>
          </c:cat>
          <c:val>
            <c:numRef>
              <c:f>'To graph'!$E$39:$H$39</c:f>
              <c:numCache>
                <c:formatCode>_-"$"\ * #,##0.00_-;\-"$"\ * #,##0.00_-;_-"$"\ * "-"??_-;_-@_-</c:formatCode>
                <c:ptCount val="4"/>
                <c:pt idx="0">
                  <c:v>0</c:v>
                </c:pt>
                <c:pt idx="1">
                  <c:v>0</c:v>
                </c:pt>
                <c:pt idx="2">
                  <c:v>0</c:v>
                </c:pt>
                <c:pt idx="3">
                  <c:v>0</c:v>
                </c:pt>
              </c:numCache>
            </c:numRef>
          </c:val>
          <c:smooth val="0"/>
          <c:extLst>
            <c:ext xmlns:c16="http://schemas.microsoft.com/office/drawing/2014/chart" uri="{C3380CC4-5D6E-409C-BE32-E72D297353CC}">
              <c16:uniqueId val="{00000000-F5A4-4C9F-9563-21EA3213D7D9}"/>
            </c:ext>
          </c:extLst>
        </c:ser>
        <c:dLbls>
          <c:dLblPos val="t"/>
          <c:showLegendKey val="0"/>
          <c:showVal val="1"/>
          <c:showCatName val="0"/>
          <c:showSerName val="0"/>
          <c:showPercent val="0"/>
          <c:showBubbleSize val="0"/>
        </c:dLbls>
        <c:smooth val="0"/>
        <c:axId val="1155198847"/>
        <c:axId val="1292475039"/>
      </c:lineChart>
      <c:catAx>
        <c:axId val="115519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2475039"/>
        <c:crosses val="autoZero"/>
        <c:auto val="1"/>
        <c:lblAlgn val="ctr"/>
        <c:lblOffset val="100"/>
        <c:noMultiLvlLbl val="0"/>
      </c:catAx>
      <c:valAx>
        <c:axId val="129247503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00_-;\-&quot;$&quot;\ * #,##0.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51988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800">
                <a:solidFill>
                  <a:srgbClr val="B9193B"/>
                </a:solidFill>
              </a:rPr>
              <a:t>ROI &amp;</a:t>
            </a:r>
            <a:r>
              <a:rPr lang="es-CO" sz="1800" baseline="0">
                <a:solidFill>
                  <a:srgbClr val="B9193B"/>
                </a:solidFill>
              </a:rPr>
              <a:t> </a:t>
            </a:r>
            <a:r>
              <a:rPr lang="es-CO" sz="1800">
                <a:solidFill>
                  <a:srgbClr val="B9193B"/>
                </a:solidFill>
              </a:rPr>
              <a:t>TCO Reduction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611830228538506"/>
          <c:y val="0.16767290384630421"/>
          <c:w val="0.70844003683069035"/>
          <c:h val="0.74561912355892224"/>
        </c:manualLayout>
      </c:layout>
      <c:scatterChart>
        <c:scatterStyle val="lineMarker"/>
        <c:varyColors val="0"/>
        <c:ser>
          <c:idx val="0"/>
          <c:order val="0"/>
          <c:tx>
            <c:v>Costs</c:v>
          </c:tx>
          <c:spPr>
            <a:ln w="28575" cap="rnd">
              <a:solidFill>
                <a:schemeClr val="accent1"/>
              </a:solidFill>
              <a:round/>
            </a:ln>
            <a:effectLst/>
          </c:spPr>
          <c:marker>
            <c:symbol val="none"/>
          </c:marker>
          <c:dLbls>
            <c:dLbl>
              <c:idx val="0"/>
              <c:layout>
                <c:manualLayout>
                  <c:x val="-8.5866632524592965E-2"/>
                  <c:y val="-5.31216914668189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94D-4B5F-B9D4-36C74253A5B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'To graph'!$E$38:$H$38</c:f>
              <c:strCache>
                <c:ptCount val="4"/>
                <c:pt idx="0">
                  <c:v>0</c:v>
                </c:pt>
                <c:pt idx="1">
                  <c:v>1  [$]</c:v>
                </c:pt>
                <c:pt idx="2">
                  <c:v>2  [$]</c:v>
                </c:pt>
                <c:pt idx="3">
                  <c:v>3  [$]</c:v>
                </c:pt>
              </c:strCache>
            </c:strRef>
          </c:xVal>
          <c:yVal>
            <c:numRef>
              <c:f>'To graph'!$E$39:$H$39</c:f>
              <c:numCache>
                <c:formatCode>_-"$"\ * #,##0.00_-;\-"$"\ * #,##0.00_-;_-"$"\ * "-"??_-;_-@_-</c:formatCode>
                <c:ptCount val="4"/>
                <c:pt idx="0">
                  <c:v>0</c:v>
                </c:pt>
                <c:pt idx="1">
                  <c:v>0</c:v>
                </c:pt>
                <c:pt idx="2">
                  <c:v>0</c:v>
                </c:pt>
                <c:pt idx="3">
                  <c:v>0</c:v>
                </c:pt>
              </c:numCache>
            </c:numRef>
          </c:yVal>
          <c:smooth val="0"/>
          <c:extLst>
            <c:ext xmlns:c16="http://schemas.microsoft.com/office/drawing/2014/chart" uri="{C3380CC4-5D6E-409C-BE32-E72D297353CC}">
              <c16:uniqueId val="{00000001-094D-4B5F-B9D4-36C74253A5B9}"/>
            </c:ext>
          </c:extLst>
        </c:ser>
        <c:ser>
          <c:idx val="1"/>
          <c:order val="1"/>
          <c:tx>
            <c:strRef>
              <c:f>'To graph'!$C$40:$D$40</c:f>
              <c:strCache>
                <c:ptCount val="1"/>
                <c:pt idx="0">
                  <c:v>TCO/ Keep on premise</c:v>
                </c:pt>
              </c:strCache>
            </c:strRef>
          </c:tx>
          <c:spPr>
            <a:ln w="12700" cap="rnd">
              <a:solidFill>
                <a:srgbClr val="FF0000"/>
              </a:solidFill>
              <a:prstDash val="sysDash"/>
              <a:round/>
            </a:ln>
            <a:effectLst/>
          </c:spPr>
          <c:marker>
            <c:symbol val="none"/>
          </c:marker>
          <c:xVal>
            <c:strRef>
              <c:f>'To graph'!$E$38:$H$38</c:f>
              <c:strCache>
                <c:ptCount val="4"/>
                <c:pt idx="0">
                  <c:v>0</c:v>
                </c:pt>
                <c:pt idx="1">
                  <c:v>1  [$]</c:v>
                </c:pt>
                <c:pt idx="2">
                  <c:v>2  [$]</c:v>
                </c:pt>
                <c:pt idx="3">
                  <c:v>3  [$]</c:v>
                </c:pt>
              </c:strCache>
            </c:strRef>
          </c:xVal>
          <c:yVal>
            <c:numRef>
              <c:f>'To graph'!$E$40:$H$40</c:f>
              <c:numCache>
                <c:formatCode>_-"$"\ * #,##0.00_-;\-"$"\ * #,##0.00_-;_-"$"\ * "-"??_-;_-@_-</c:formatCode>
                <c:ptCount val="4"/>
                <c:pt idx="0">
                  <c:v>0</c:v>
                </c:pt>
                <c:pt idx="1">
                  <c:v>0</c:v>
                </c:pt>
                <c:pt idx="2">
                  <c:v>0</c:v>
                </c:pt>
                <c:pt idx="3">
                  <c:v>0</c:v>
                </c:pt>
              </c:numCache>
            </c:numRef>
          </c:yVal>
          <c:smooth val="0"/>
          <c:extLst>
            <c:ext xmlns:c16="http://schemas.microsoft.com/office/drawing/2014/chart" uri="{C3380CC4-5D6E-409C-BE32-E72D297353CC}">
              <c16:uniqueId val="{00000002-094D-4B5F-B9D4-36C74253A5B9}"/>
            </c:ext>
          </c:extLst>
        </c:ser>
        <c:ser>
          <c:idx val="2"/>
          <c:order val="2"/>
          <c:tx>
            <c:v>Payback</c:v>
          </c:tx>
          <c:spPr>
            <a:ln w="28575" cap="rnd">
              <a:solidFill>
                <a:srgbClr val="FF0000"/>
              </a:solidFill>
              <a:round/>
            </a:ln>
            <a:effectLst/>
          </c:spPr>
          <c:marker>
            <c:symbol val="none"/>
          </c:marker>
          <c:xVal>
            <c:numRef>
              <c:f>'To graph'!$E$44:$E$45</c:f>
              <c:numCache>
                <c:formatCode>0.00</c:formatCode>
                <c:ptCount val="2"/>
                <c:pt idx="0">
                  <c:v>0</c:v>
                </c:pt>
                <c:pt idx="1">
                  <c:v>0</c:v>
                </c:pt>
              </c:numCache>
            </c:numRef>
          </c:xVal>
          <c:yVal>
            <c:numRef>
              <c:f>'To graph'!$C$44:$C$45</c:f>
              <c:numCache>
                <c:formatCode>_-"$"\ * #,##0.00_-;\-"$"\ * #,##0.00_-;_-"$"\ * "-"??_-;_-@_-</c:formatCode>
                <c:ptCount val="2"/>
                <c:pt idx="0" formatCode="General">
                  <c:v>0</c:v>
                </c:pt>
                <c:pt idx="1">
                  <c:v>0</c:v>
                </c:pt>
              </c:numCache>
            </c:numRef>
          </c:yVal>
          <c:smooth val="0"/>
          <c:extLst>
            <c:ext xmlns:c16="http://schemas.microsoft.com/office/drawing/2014/chart" uri="{C3380CC4-5D6E-409C-BE32-E72D297353CC}">
              <c16:uniqueId val="{00000003-094D-4B5F-B9D4-36C74253A5B9}"/>
            </c:ext>
          </c:extLst>
        </c:ser>
        <c:dLbls>
          <c:showLegendKey val="0"/>
          <c:showVal val="0"/>
          <c:showCatName val="0"/>
          <c:showSerName val="0"/>
          <c:showPercent val="0"/>
          <c:showBubbleSize val="0"/>
        </c:dLbls>
        <c:axId val="828133584"/>
        <c:axId val="615658000"/>
      </c:scatterChart>
      <c:valAx>
        <c:axId val="8281335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15658000"/>
        <c:crosses val="autoZero"/>
        <c:crossBetween val="midCat"/>
      </c:valAx>
      <c:valAx>
        <c:axId val="6156580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Costs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 #,##0.00_-;\-&quot;$&quot;\ * #,##0.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28133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2"/>
                </a:solidFill>
                <a:latin typeface="+mn-lt"/>
                <a:ea typeface="+mn-ea"/>
                <a:cs typeface="+mn-cs"/>
              </a:defRPr>
            </a:pPr>
            <a:r>
              <a:rPr lang="en-US" sz="2200">
                <a:solidFill>
                  <a:srgbClr val="B9193B"/>
                </a:solidFill>
              </a:rPr>
              <a:t>Cost First Year Legay/Cloud</a:t>
            </a:r>
          </a:p>
        </c:rich>
      </c:tx>
      <c:layout>
        <c:manualLayout>
          <c:xMode val="edge"/>
          <c:yMode val="edge"/>
          <c:x val="0.23822971495528772"/>
          <c:y val="2.715700383405573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tx>
            <c:strRef>
              <c:f>'To graph'!$E$12</c:f>
              <c:strCache>
                <c:ptCount val="1"/>
                <c:pt idx="0">
                  <c:v>1 [$]</c:v>
                </c:pt>
              </c:strCache>
            </c:strRef>
          </c:tx>
          <c:spPr>
            <a:solidFill>
              <a:srgbClr val="B9193B"/>
            </a:solidFill>
            <a:ln>
              <a:noFill/>
            </a:ln>
            <a:effectLst/>
          </c:spPr>
          <c:invertIfNegative val="0"/>
          <c:dPt>
            <c:idx val="1"/>
            <c:invertIfNegative val="0"/>
            <c:bubble3D val="0"/>
            <c:spPr>
              <a:solidFill>
                <a:srgbClr val="F094A8"/>
              </a:solidFill>
              <a:ln>
                <a:noFill/>
              </a:ln>
              <a:effectLst/>
            </c:spPr>
            <c:extLst>
              <c:ext xmlns:c16="http://schemas.microsoft.com/office/drawing/2014/chart" uri="{C3380CC4-5D6E-409C-BE32-E72D297353CC}">
                <c16:uniqueId val="{00000001-F3FB-4024-8163-3CF090358781}"/>
              </c:ext>
            </c:extLst>
          </c:dPt>
          <c:dPt>
            <c:idx val="2"/>
            <c:invertIfNegative val="0"/>
            <c:bubble3D val="0"/>
            <c:spPr>
              <a:solidFill>
                <a:srgbClr val="F094A8"/>
              </a:solidFill>
              <a:ln>
                <a:noFill/>
              </a:ln>
              <a:effectLst/>
            </c:spPr>
            <c:extLst>
              <c:ext xmlns:c16="http://schemas.microsoft.com/office/drawing/2014/chart" uri="{C3380CC4-5D6E-409C-BE32-E72D297353CC}">
                <c16:uniqueId val="{00000003-F3FB-4024-8163-3CF090358781}"/>
              </c:ext>
            </c:extLst>
          </c:dPt>
          <c:dLbls>
            <c:dLbl>
              <c:idx val="2"/>
              <c:layout>
                <c:manualLayout>
                  <c:x val="2.6396379477970331E-2"/>
                  <c:y val="-1.18452204628701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3FB-4024-8163-3CF090358781}"/>
                </c:ext>
              </c:extLst>
            </c:dLbl>
            <c:dLbl>
              <c:idx val="4"/>
              <c:layout>
                <c:manualLayout>
                  <c:x val="-4.6581846137594821E-2"/>
                  <c:y val="-2.13213968331663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0E9-4A3C-854A-9D6179650849}"/>
                </c:ext>
              </c:extLst>
            </c:dLbl>
            <c:spPr>
              <a:noFill/>
              <a:ln>
                <a:noFill/>
              </a:ln>
              <a:effectLst/>
            </c:spPr>
            <c:txPr>
              <a:bodyPr rot="0" spcFirstLastPara="1" vertOverflow="ellipsis" vert="horz" wrap="square" anchor="ctr" anchorCtr="1"/>
              <a:lstStyle/>
              <a:p>
                <a:pPr>
                  <a:defRPr sz="12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'To graph'!$C$13:$D$18</c:f>
              <c:strCache>
                <c:ptCount val="6"/>
                <c:pt idx="0">
                  <c:v>Capex Legacy</c:v>
                </c:pt>
                <c:pt idx="1">
                  <c:v>Opex Legacy</c:v>
                </c:pt>
                <c:pt idx="2">
                  <c:v>Total Legacy</c:v>
                </c:pt>
                <c:pt idx="3">
                  <c:v>Capex Cloud</c:v>
                </c:pt>
                <c:pt idx="4">
                  <c:v>Opex Cloud</c:v>
                </c:pt>
                <c:pt idx="5">
                  <c:v>Total Cloud</c:v>
                </c:pt>
              </c:strCache>
            </c:strRef>
          </c:cat>
          <c:val>
            <c:numRef>
              <c:f>'To graph'!$E$13:$E$18</c:f>
              <c:numCache>
                <c:formatCode>_-"$"\ * #,##0.00_-;\-"$"\ * #,##0.00_-;_-"$"\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F3FB-4024-8163-3CF090358781}"/>
            </c:ext>
          </c:extLst>
        </c:ser>
        <c:dLbls>
          <c:showLegendKey val="0"/>
          <c:showVal val="0"/>
          <c:showCatName val="0"/>
          <c:showSerName val="0"/>
          <c:showPercent val="0"/>
          <c:showBubbleSize val="0"/>
        </c:dLbls>
        <c:gapWidth val="100"/>
        <c:overlap val="-24"/>
        <c:axId val="1900127904"/>
        <c:axId val="1808071808"/>
      </c:barChart>
      <c:catAx>
        <c:axId val="1900127904"/>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2"/>
                </a:solidFill>
                <a:latin typeface="+mn-lt"/>
                <a:ea typeface="+mn-ea"/>
                <a:cs typeface="+mn-cs"/>
              </a:defRPr>
            </a:pPr>
            <a:endParaRPr lang="en-US"/>
          </a:p>
        </c:txPr>
        <c:crossAx val="1808071808"/>
        <c:crosses val="autoZero"/>
        <c:auto val="1"/>
        <c:lblAlgn val="ctr"/>
        <c:lblOffset val="100"/>
        <c:noMultiLvlLbl val="0"/>
      </c:catAx>
      <c:valAx>
        <c:axId val="1808071808"/>
        <c:scaling>
          <c:orientation val="minMax"/>
        </c:scaling>
        <c:delete val="0"/>
        <c:axPos val="l"/>
        <c:majorGridlines>
          <c:spPr>
            <a:ln w="9525" cap="flat" cmpd="sng" algn="ctr">
              <a:solidFill>
                <a:schemeClr val="tx2">
                  <a:lumMod val="15000"/>
                  <a:lumOff val="85000"/>
                </a:schemeClr>
              </a:solidFill>
              <a:round/>
            </a:ln>
            <a:effectLst/>
          </c:spPr>
        </c:majorGridlines>
        <c:numFmt formatCode="_-&quot;$&quot;\ * #,##0.00_-;\-&quot;$&quot;\ * #,##0.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solidFill>
                <a:latin typeface="+mn-lt"/>
                <a:ea typeface="+mn-ea"/>
                <a:cs typeface="+mn-cs"/>
              </a:defRPr>
            </a:pPr>
            <a:endParaRPr lang="en-US"/>
          </a:p>
        </c:txPr>
        <c:crossAx val="1900127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40" b="0" i="0" u="none" strike="noStrike" kern="1200" spc="0" baseline="0">
                <a:solidFill>
                  <a:schemeClr val="tx1">
                    <a:lumMod val="65000"/>
                    <a:lumOff val="35000"/>
                  </a:schemeClr>
                </a:solidFill>
                <a:latin typeface="+mn-lt"/>
                <a:ea typeface="+mn-ea"/>
                <a:cs typeface="+mn-cs"/>
              </a:defRPr>
            </a:pPr>
            <a:r>
              <a:rPr lang="en-US" sz="2200" b="1">
                <a:solidFill>
                  <a:srgbClr val="B9193B"/>
                </a:solidFill>
              </a:rPr>
              <a:t>Cost Second Year Legay/Cloud</a:t>
            </a:r>
            <a:endParaRPr lang="es-CO" sz="2200" b="1">
              <a:solidFill>
                <a:srgbClr val="B9193B"/>
              </a:solidFill>
            </a:endParaRPr>
          </a:p>
          <a:p>
            <a:pPr algn="ctr" rtl="0">
              <a:defRPr/>
            </a:pPr>
            <a:endParaRPr lang="en-US"/>
          </a:p>
        </c:rich>
      </c:tx>
      <c:overlay val="0"/>
      <c:spPr>
        <a:noFill/>
        <a:ln>
          <a:noFill/>
        </a:ln>
        <a:effectLst/>
      </c:spPr>
      <c:txPr>
        <a:bodyPr rot="0" spcFirstLastPara="1" vertOverflow="ellipsis" vert="horz" wrap="square" anchor="ctr" anchorCtr="1"/>
        <a:lstStyle/>
        <a:p>
          <a:pPr algn="ctr" rtl="0">
            <a:defRPr sz="144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'To graph'!$F$12</c:f>
              <c:strCache>
                <c:ptCount val="1"/>
                <c:pt idx="0">
                  <c:v>2  [$]</c:v>
                </c:pt>
              </c:strCache>
            </c:strRef>
          </c:tx>
          <c:spPr>
            <a:solidFill>
              <a:srgbClr val="B9193B"/>
            </a:solidFill>
            <a:ln>
              <a:noFill/>
            </a:ln>
            <a:effectLst/>
          </c:spPr>
          <c:invertIfNegative val="0"/>
          <c:dPt>
            <c:idx val="1"/>
            <c:invertIfNegative val="0"/>
            <c:bubble3D val="0"/>
            <c:spPr>
              <a:solidFill>
                <a:srgbClr val="F094A8"/>
              </a:solidFill>
              <a:ln>
                <a:noFill/>
              </a:ln>
              <a:effectLst/>
            </c:spPr>
            <c:extLst>
              <c:ext xmlns:c16="http://schemas.microsoft.com/office/drawing/2014/chart" uri="{C3380CC4-5D6E-409C-BE32-E72D297353CC}">
                <c16:uniqueId val="{00000001-6BB7-400D-94DF-38504C468347}"/>
              </c:ext>
            </c:extLst>
          </c:dPt>
          <c:dPt>
            <c:idx val="2"/>
            <c:invertIfNegative val="0"/>
            <c:bubble3D val="0"/>
            <c:spPr>
              <a:solidFill>
                <a:srgbClr val="F094A8"/>
              </a:solidFill>
              <a:ln>
                <a:noFill/>
              </a:ln>
              <a:effectLst/>
            </c:spPr>
            <c:extLst>
              <c:ext xmlns:c16="http://schemas.microsoft.com/office/drawing/2014/chart" uri="{C3380CC4-5D6E-409C-BE32-E72D297353CC}">
                <c16:uniqueId val="{00000003-6BB7-400D-94DF-38504C468347}"/>
              </c:ext>
            </c:extLst>
          </c:dPt>
          <c:dLbls>
            <c:dLbl>
              <c:idx val="2"/>
              <c:layout>
                <c:manualLayout>
                  <c:x val="3.0353453576449443E-2"/>
                  <c:y val="-3.19230598185161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BB7-400D-94DF-38504C468347}"/>
                </c:ext>
              </c:extLst>
            </c:dLbl>
            <c:dLbl>
              <c:idx val="4"/>
              <c:layout>
                <c:manualLayout>
                  <c:x val="-5.7511806776430523E-2"/>
                  <c:y val="-4.42011597487147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850-4071-A6E7-DAD894C236EE}"/>
                </c:ext>
              </c:extLst>
            </c:dLbl>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 graph'!$C$13:$C$18</c:f>
              <c:strCache>
                <c:ptCount val="6"/>
                <c:pt idx="0">
                  <c:v>Capex Legacy</c:v>
                </c:pt>
                <c:pt idx="1">
                  <c:v>Opex Legacy</c:v>
                </c:pt>
                <c:pt idx="2">
                  <c:v>Total Legacy</c:v>
                </c:pt>
                <c:pt idx="3">
                  <c:v>Capex Cloud</c:v>
                </c:pt>
                <c:pt idx="4">
                  <c:v>Opex Cloud</c:v>
                </c:pt>
                <c:pt idx="5">
                  <c:v>Total Cloud</c:v>
                </c:pt>
              </c:strCache>
            </c:strRef>
          </c:cat>
          <c:val>
            <c:numRef>
              <c:f>'To graph'!$F$13:$F$18</c:f>
              <c:numCache>
                <c:formatCode>_-"$"\ * #,##0.00_-;\-"$"\ * #,##0.00_-;_-"$"\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6BB7-400D-94DF-38504C468347}"/>
            </c:ext>
          </c:extLst>
        </c:ser>
        <c:dLbls>
          <c:showLegendKey val="0"/>
          <c:showVal val="0"/>
          <c:showCatName val="0"/>
          <c:showSerName val="0"/>
          <c:showPercent val="0"/>
          <c:showBubbleSize val="0"/>
        </c:dLbls>
        <c:gapWidth val="219"/>
        <c:overlap val="-27"/>
        <c:axId val="1900125904"/>
        <c:axId val="2126721168"/>
      </c:barChart>
      <c:catAx>
        <c:axId val="190012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26721168"/>
        <c:crosses val="autoZero"/>
        <c:auto val="1"/>
        <c:lblAlgn val="ctr"/>
        <c:lblOffset val="100"/>
        <c:noMultiLvlLbl val="0"/>
      </c:catAx>
      <c:valAx>
        <c:axId val="212672116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00_-;\-&quot;$&quot;\ * #,##0.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900125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40" b="0" i="0" u="none" strike="noStrike" kern="1200" spc="0" baseline="0">
                <a:solidFill>
                  <a:schemeClr val="tx1">
                    <a:lumMod val="65000"/>
                    <a:lumOff val="35000"/>
                  </a:schemeClr>
                </a:solidFill>
                <a:latin typeface="+mn-lt"/>
                <a:ea typeface="+mn-ea"/>
                <a:cs typeface="+mn-cs"/>
              </a:defRPr>
            </a:pPr>
            <a:r>
              <a:rPr lang="en-US" sz="2200" b="1">
                <a:solidFill>
                  <a:srgbClr val="B9193B"/>
                </a:solidFill>
              </a:rPr>
              <a:t>Cost Thrid Year Legay/Cloud</a:t>
            </a:r>
            <a:endParaRPr lang="es-CO" sz="2200" b="1">
              <a:solidFill>
                <a:srgbClr val="B9193B"/>
              </a:solidFill>
            </a:endParaRPr>
          </a:p>
        </c:rich>
      </c:tx>
      <c:overlay val="0"/>
      <c:spPr>
        <a:noFill/>
        <a:ln>
          <a:noFill/>
        </a:ln>
        <a:effectLst/>
      </c:spPr>
      <c:txPr>
        <a:bodyPr rot="0" spcFirstLastPara="1" vertOverflow="ellipsis" vert="horz" wrap="square" anchor="ctr" anchorCtr="1"/>
        <a:lstStyle/>
        <a:p>
          <a:pPr algn="ctr" rtl="0">
            <a:defRPr sz="144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'To graph'!$G$12</c:f>
              <c:strCache>
                <c:ptCount val="1"/>
                <c:pt idx="0">
                  <c:v>3  [$]</c:v>
                </c:pt>
              </c:strCache>
            </c:strRef>
          </c:tx>
          <c:spPr>
            <a:solidFill>
              <a:srgbClr val="B9193B"/>
            </a:solidFill>
            <a:ln>
              <a:noFill/>
            </a:ln>
            <a:effectLst/>
          </c:spPr>
          <c:invertIfNegative val="0"/>
          <c:dPt>
            <c:idx val="1"/>
            <c:invertIfNegative val="0"/>
            <c:bubble3D val="0"/>
            <c:spPr>
              <a:solidFill>
                <a:srgbClr val="F094A8"/>
              </a:solidFill>
              <a:ln>
                <a:noFill/>
              </a:ln>
              <a:effectLst/>
            </c:spPr>
            <c:extLst>
              <c:ext xmlns:c16="http://schemas.microsoft.com/office/drawing/2014/chart" uri="{C3380CC4-5D6E-409C-BE32-E72D297353CC}">
                <c16:uniqueId val="{00000001-4C52-4B4A-827B-809172278464}"/>
              </c:ext>
            </c:extLst>
          </c:dPt>
          <c:dPt>
            <c:idx val="2"/>
            <c:invertIfNegative val="0"/>
            <c:bubble3D val="0"/>
            <c:spPr>
              <a:solidFill>
                <a:srgbClr val="F094A8"/>
              </a:solidFill>
              <a:ln>
                <a:noFill/>
              </a:ln>
              <a:effectLst/>
            </c:spPr>
            <c:extLst>
              <c:ext xmlns:c16="http://schemas.microsoft.com/office/drawing/2014/chart" uri="{C3380CC4-5D6E-409C-BE32-E72D297353CC}">
                <c16:uniqueId val="{00000003-4C52-4B4A-827B-809172278464}"/>
              </c:ext>
            </c:extLst>
          </c:dPt>
          <c:dLbls>
            <c:dLbl>
              <c:idx val="2"/>
              <c:layout>
                <c:manualLayout>
                  <c:x val="4.2496130237192543E-2"/>
                  <c:y val="-2.5000004921260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C52-4B4A-827B-809172278464}"/>
                </c:ext>
              </c:extLst>
            </c:dLbl>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 graph'!$C$13:$C$18</c:f>
              <c:strCache>
                <c:ptCount val="6"/>
                <c:pt idx="0">
                  <c:v>Capex Legacy</c:v>
                </c:pt>
                <c:pt idx="1">
                  <c:v>Opex Legacy</c:v>
                </c:pt>
                <c:pt idx="2">
                  <c:v>Total Legacy</c:v>
                </c:pt>
                <c:pt idx="3">
                  <c:v>Capex Cloud</c:v>
                </c:pt>
                <c:pt idx="4">
                  <c:v>Opex Cloud</c:v>
                </c:pt>
                <c:pt idx="5">
                  <c:v>Total Cloud</c:v>
                </c:pt>
              </c:strCache>
            </c:strRef>
          </c:cat>
          <c:val>
            <c:numRef>
              <c:f>'To graph'!$G$13:$G$18</c:f>
              <c:numCache>
                <c:formatCode>_-"$"\ * #,##0.00_-;\-"$"\ * #,##0.00_-;_-"$"\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4C52-4B4A-827B-809172278464}"/>
            </c:ext>
          </c:extLst>
        </c:ser>
        <c:dLbls>
          <c:showLegendKey val="0"/>
          <c:showVal val="0"/>
          <c:showCatName val="0"/>
          <c:showSerName val="0"/>
          <c:showPercent val="0"/>
          <c:showBubbleSize val="0"/>
        </c:dLbls>
        <c:gapWidth val="219"/>
        <c:overlap val="-27"/>
        <c:axId val="1804673216"/>
        <c:axId val="1897359008"/>
      </c:barChart>
      <c:catAx>
        <c:axId val="1804673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97359008"/>
        <c:crosses val="autoZero"/>
        <c:auto val="1"/>
        <c:lblAlgn val="ctr"/>
        <c:lblOffset val="100"/>
        <c:noMultiLvlLbl val="0"/>
      </c:catAx>
      <c:valAx>
        <c:axId val="189735900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00_-;\-&quot;$&quot;\ * #,##0.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804673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s-CO" sz="2200" b="1" i="0" u="none" strike="noStrike" kern="1200" spc="0" baseline="0">
                <a:solidFill>
                  <a:srgbClr val="B9193B"/>
                </a:solidFill>
                <a:latin typeface="+mn-lt"/>
                <a:ea typeface="+mn-ea"/>
                <a:cs typeface="+mn-cs"/>
              </a:defRPr>
            </a:pPr>
            <a:r>
              <a:rPr lang="es-CO" sz="2200" b="1" i="0" baseline="0">
                <a:effectLst/>
              </a:rPr>
              <a:t>On-Premise vs. Cloud Comparison</a:t>
            </a:r>
            <a:endParaRPr lang="en-US" sz="2200">
              <a:effectLst/>
            </a:endParaRPr>
          </a:p>
        </c:rich>
      </c:tx>
      <c:overlay val="0"/>
      <c:spPr>
        <a:noFill/>
        <a:ln>
          <a:noFill/>
        </a:ln>
        <a:effectLst/>
      </c:spPr>
      <c:txPr>
        <a:bodyPr rot="0" spcFirstLastPara="1" vertOverflow="ellipsis" vert="horz" wrap="square" anchor="ctr" anchorCtr="1"/>
        <a:lstStyle/>
        <a:p>
          <a:pPr>
            <a:defRPr lang="es-CO" sz="2200" b="1" i="0" u="none" strike="noStrike" kern="1200" spc="0" baseline="0">
              <a:solidFill>
                <a:srgbClr val="B9193B"/>
              </a:solidFill>
              <a:latin typeface="+mn-lt"/>
              <a:ea typeface="+mn-ea"/>
              <a:cs typeface="+mn-cs"/>
            </a:defRPr>
          </a:pPr>
          <a:endParaRPr lang="en-US"/>
        </a:p>
      </c:txPr>
    </c:title>
    <c:autoTitleDeleted val="0"/>
    <c:plotArea>
      <c:layout>
        <c:manualLayout>
          <c:layoutTarget val="inner"/>
          <c:xMode val="edge"/>
          <c:yMode val="edge"/>
          <c:x val="0.21611830228538506"/>
          <c:y val="0.16767290384630421"/>
          <c:w val="0.70844003683069035"/>
          <c:h val="0.74561912355892224"/>
        </c:manualLayout>
      </c:layout>
      <c:scatterChart>
        <c:scatterStyle val="lineMarker"/>
        <c:varyColors val="0"/>
        <c:ser>
          <c:idx val="0"/>
          <c:order val="0"/>
          <c:tx>
            <c:v>Costs</c:v>
          </c:tx>
          <c:spPr>
            <a:ln w="28575" cap="rnd">
              <a:solidFill>
                <a:schemeClr val="accent1"/>
              </a:solidFill>
              <a:round/>
            </a:ln>
            <a:effectLst/>
          </c:spPr>
          <c:marker>
            <c:symbol val="none"/>
          </c:marker>
          <c:dLbls>
            <c:dLbl>
              <c:idx val="0"/>
              <c:layout>
                <c:manualLayout>
                  <c:x val="-8.5866632524592965E-2"/>
                  <c:y val="-5.31216914668189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09C-48B6-A209-CAEA6DB6059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'To graph'!$E$38:$H$38</c:f>
              <c:strCache>
                <c:ptCount val="4"/>
                <c:pt idx="0">
                  <c:v>0</c:v>
                </c:pt>
                <c:pt idx="1">
                  <c:v>1  [$]</c:v>
                </c:pt>
                <c:pt idx="2">
                  <c:v>2  [$]</c:v>
                </c:pt>
                <c:pt idx="3">
                  <c:v>3  [$]</c:v>
                </c:pt>
              </c:strCache>
            </c:strRef>
          </c:xVal>
          <c:yVal>
            <c:numRef>
              <c:f>'To graph'!$E$39:$H$39</c:f>
              <c:numCache>
                <c:formatCode>_-"$"\ * #,##0.00_-;\-"$"\ * #,##0.00_-;_-"$"\ * "-"??_-;_-@_-</c:formatCode>
                <c:ptCount val="4"/>
                <c:pt idx="0">
                  <c:v>0</c:v>
                </c:pt>
                <c:pt idx="1">
                  <c:v>0</c:v>
                </c:pt>
                <c:pt idx="2">
                  <c:v>0</c:v>
                </c:pt>
                <c:pt idx="3">
                  <c:v>0</c:v>
                </c:pt>
              </c:numCache>
            </c:numRef>
          </c:yVal>
          <c:smooth val="0"/>
          <c:extLst>
            <c:ext xmlns:c16="http://schemas.microsoft.com/office/drawing/2014/chart" uri="{C3380CC4-5D6E-409C-BE32-E72D297353CC}">
              <c16:uniqueId val="{00000001-909C-48B6-A209-CAEA6DB60599}"/>
            </c:ext>
          </c:extLst>
        </c:ser>
        <c:ser>
          <c:idx val="1"/>
          <c:order val="1"/>
          <c:tx>
            <c:strRef>
              <c:f>'To graph'!$C$40:$D$40</c:f>
              <c:strCache>
                <c:ptCount val="1"/>
                <c:pt idx="0">
                  <c:v>TCO/ Keep on premise</c:v>
                </c:pt>
              </c:strCache>
            </c:strRef>
          </c:tx>
          <c:spPr>
            <a:ln w="28575" cap="rnd">
              <a:solidFill>
                <a:schemeClr val="accent2">
                  <a:lumMod val="75000"/>
                </a:schemeClr>
              </a:solidFill>
              <a:prstDash val="sysDash"/>
              <a:round/>
            </a:ln>
            <a:effectLst/>
          </c:spPr>
          <c:marker>
            <c:symbol val="none"/>
          </c:marker>
          <c:xVal>
            <c:strRef>
              <c:f>'To graph'!$E$38:$H$38</c:f>
              <c:strCache>
                <c:ptCount val="4"/>
                <c:pt idx="0">
                  <c:v>0</c:v>
                </c:pt>
                <c:pt idx="1">
                  <c:v>1  [$]</c:v>
                </c:pt>
                <c:pt idx="2">
                  <c:v>2  [$]</c:v>
                </c:pt>
                <c:pt idx="3">
                  <c:v>3  [$]</c:v>
                </c:pt>
              </c:strCache>
            </c:strRef>
          </c:xVal>
          <c:yVal>
            <c:numRef>
              <c:f>'To graph'!$E$40:$H$40</c:f>
              <c:numCache>
                <c:formatCode>_-"$"\ * #,##0.00_-;\-"$"\ * #,##0.00_-;_-"$"\ * "-"??_-;_-@_-</c:formatCode>
                <c:ptCount val="4"/>
                <c:pt idx="0">
                  <c:v>0</c:v>
                </c:pt>
                <c:pt idx="1">
                  <c:v>0</c:v>
                </c:pt>
                <c:pt idx="2">
                  <c:v>0</c:v>
                </c:pt>
                <c:pt idx="3">
                  <c:v>0</c:v>
                </c:pt>
              </c:numCache>
            </c:numRef>
          </c:yVal>
          <c:smooth val="0"/>
          <c:extLst>
            <c:ext xmlns:c16="http://schemas.microsoft.com/office/drawing/2014/chart" uri="{C3380CC4-5D6E-409C-BE32-E72D297353CC}">
              <c16:uniqueId val="{00000002-909C-48B6-A209-CAEA6DB60599}"/>
            </c:ext>
          </c:extLst>
        </c:ser>
        <c:ser>
          <c:idx val="2"/>
          <c:order val="2"/>
          <c:tx>
            <c:v>Payback</c:v>
          </c:tx>
          <c:spPr>
            <a:ln w="28575" cap="rnd">
              <a:solidFill>
                <a:schemeClr val="accent3">
                  <a:lumMod val="75000"/>
                </a:schemeClr>
              </a:solidFill>
              <a:round/>
            </a:ln>
            <a:effectLst/>
          </c:spPr>
          <c:marker>
            <c:symbol val="none"/>
          </c:marker>
          <c:xVal>
            <c:numRef>
              <c:f>'To graph'!$E$44:$E$45</c:f>
              <c:numCache>
                <c:formatCode>0.00</c:formatCode>
                <c:ptCount val="2"/>
                <c:pt idx="0">
                  <c:v>0</c:v>
                </c:pt>
                <c:pt idx="1">
                  <c:v>0</c:v>
                </c:pt>
              </c:numCache>
            </c:numRef>
          </c:xVal>
          <c:yVal>
            <c:numRef>
              <c:f>'To graph'!$C$44:$C$45</c:f>
              <c:numCache>
                <c:formatCode>_-"$"\ * #,##0.00_-;\-"$"\ * #,##0.00_-;_-"$"\ * "-"??_-;_-@_-</c:formatCode>
                <c:ptCount val="2"/>
                <c:pt idx="0" formatCode="General">
                  <c:v>0</c:v>
                </c:pt>
                <c:pt idx="1">
                  <c:v>0</c:v>
                </c:pt>
              </c:numCache>
            </c:numRef>
          </c:yVal>
          <c:smooth val="0"/>
          <c:extLst>
            <c:ext xmlns:c16="http://schemas.microsoft.com/office/drawing/2014/chart" uri="{C3380CC4-5D6E-409C-BE32-E72D297353CC}">
              <c16:uniqueId val="{00000003-909C-48B6-A209-CAEA6DB60599}"/>
            </c:ext>
          </c:extLst>
        </c:ser>
        <c:dLbls>
          <c:showLegendKey val="0"/>
          <c:showVal val="0"/>
          <c:showCatName val="0"/>
          <c:showSerName val="0"/>
          <c:showPercent val="0"/>
          <c:showBubbleSize val="0"/>
        </c:dLbls>
        <c:axId val="828133584"/>
        <c:axId val="615658000"/>
      </c:scatterChart>
      <c:valAx>
        <c:axId val="8281335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sz="1400"/>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615658000"/>
        <c:crosses val="autoZero"/>
        <c:crossBetween val="midCat"/>
      </c:valAx>
      <c:valAx>
        <c:axId val="6156580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sz="1400"/>
                  <a:t>TCO  reduction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 #,##0.00_-;\-&quot;$&quot;\ * #,##0.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28133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s-CO" sz="2200" b="1">
                <a:solidFill>
                  <a:srgbClr val="B9193B"/>
                </a:solidFill>
              </a:rPr>
              <a:t>Capex &amp; Opex Legacy/Cloud</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'To graph'!$E$29</c:f>
              <c:strCache>
                <c:ptCount val="1"/>
                <c:pt idx="0">
                  <c:v>1  [$]</c:v>
                </c:pt>
              </c:strCache>
            </c:strRef>
          </c:tx>
          <c:spPr>
            <a:solidFill>
              <a:schemeClr val="accent6"/>
            </a:solidFill>
            <a:ln>
              <a:noFill/>
            </a:ln>
            <a:effectLst/>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 graph'!$C$30:$D$33</c:f>
              <c:strCache>
                <c:ptCount val="4"/>
                <c:pt idx="0">
                  <c:v>Capex Legacy</c:v>
                </c:pt>
                <c:pt idx="1">
                  <c:v>Capex Cloud</c:v>
                </c:pt>
                <c:pt idx="2">
                  <c:v>Opex Legacy</c:v>
                </c:pt>
                <c:pt idx="3">
                  <c:v>Opex Cloud</c:v>
                </c:pt>
              </c:strCache>
            </c:strRef>
          </c:cat>
          <c:val>
            <c:numRef>
              <c:f>'To graph'!$E$30:$E$33</c:f>
              <c:numCache>
                <c:formatCode>_-"$"\ * #,##0.00_-;\-"$"\ * #,##0.00_-;_-"$"\ * "-"??_-;_-@_-</c:formatCode>
                <c:ptCount val="4"/>
                <c:pt idx="0">
                  <c:v>0</c:v>
                </c:pt>
                <c:pt idx="1">
                  <c:v>0</c:v>
                </c:pt>
                <c:pt idx="2">
                  <c:v>0</c:v>
                </c:pt>
                <c:pt idx="3">
                  <c:v>0</c:v>
                </c:pt>
              </c:numCache>
            </c:numRef>
          </c:val>
          <c:extLst>
            <c:ext xmlns:c16="http://schemas.microsoft.com/office/drawing/2014/chart" uri="{C3380CC4-5D6E-409C-BE32-E72D297353CC}">
              <c16:uniqueId val="{00000000-BDA1-42C0-98DB-B096CC49548F}"/>
            </c:ext>
          </c:extLst>
        </c:ser>
        <c:ser>
          <c:idx val="1"/>
          <c:order val="1"/>
          <c:tx>
            <c:strRef>
              <c:f>'To graph'!$F$29</c:f>
              <c:strCache>
                <c:ptCount val="1"/>
                <c:pt idx="0">
                  <c:v>2  [$]</c:v>
                </c:pt>
              </c:strCache>
            </c:strRef>
          </c:tx>
          <c:spPr>
            <a:solidFill>
              <a:schemeClr val="accent5"/>
            </a:solidFill>
            <a:ln>
              <a:noFill/>
            </a:ln>
            <a:effectLst/>
          </c:spPr>
          <c:invertIfNegative val="0"/>
          <c:cat>
            <c:strRef>
              <c:f>'To graph'!$C$30:$D$33</c:f>
              <c:strCache>
                <c:ptCount val="4"/>
                <c:pt idx="0">
                  <c:v>Capex Legacy</c:v>
                </c:pt>
                <c:pt idx="1">
                  <c:v>Capex Cloud</c:v>
                </c:pt>
                <c:pt idx="2">
                  <c:v>Opex Legacy</c:v>
                </c:pt>
                <c:pt idx="3">
                  <c:v>Opex Cloud</c:v>
                </c:pt>
              </c:strCache>
            </c:strRef>
          </c:cat>
          <c:val>
            <c:numRef>
              <c:f>'To graph'!$F$30:$F$33</c:f>
              <c:numCache>
                <c:formatCode>_-"$"\ * #,##0.00_-;\-"$"\ * #,##0.00_-;_-"$"\ * "-"??_-;_-@_-</c:formatCode>
                <c:ptCount val="4"/>
                <c:pt idx="0">
                  <c:v>0</c:v>
                </c:pt>
                <c:pt idx="1">
                  <c:v>0</c:v>
                </c:pt>
                <c:pt idx="2">
                  <c:v>0</c:v>
                </c:pt>
                <c:pt idx="3">
                  <c:v>0</c:v>
                </c:pt>
              </c:numCache>
            </c:numRef>
          </c:val>
          <c:extLst>
            <c:ext xmlns:c16="http://schemas.microsoft.com/office/drawing/2014/chart" uri="{C3380CC4-5D6E-409C-BE32-E72D297353CC}">
              <c16:uniqueId val="{00000001-BDA1-42C0-98DB-B096CC49548F}"/>
            </c:ext>
          </c:extLst>
        </c:ser>
        <c:ser>
          <c:idx val="2"/>
          <c:order val="2"/>
          <c:tx>
            <c:strRef>
              <c:f>'To graph'!$G$29</c:f>
              <c:strCache>
                <c:ptCount val="1"/>
                <c:pt idx="0">
                  <c:v>3  [$]</c:v>
                </c:pt>
              </c:strCache>
            </c:strRef>
          </c:tx>
          <c:spPr>
            <a:solidFill>
              <a:schemeClr val="accent4"/>
            </a:solidFill>
            <a:ln>
              <a:noFill/>
            </a:ln>
            <a:effectLst/>
          </c:spPr>
          <c:invertIfNegative val="0"/>
          <c:cat>
            <c:strRef>
              <c:f>'To graph'!$C$30:$D$33</c:f>
              <c:strCache>
                <c:ptCount val="4"/>
                <c:pt idx="0">
                  <c:v>Capex Legacy</c:v>
                </c:pt>
                <c:pt idx="1">
                  <c:v>Capex Cloud</c:v>
                </c:pt>
                <c:pt idx="2">
                  <c:v>Opex Legacy</c:v>
                </c:pt>
                <c:pt idx="3">
                  <c:v>Opex Cloud</c:v>
                </c:pt>
              </c:strCache>
            </c:strRef>
          </c:cat>
          <c:val>
            <c:numRef>
              <c:f>'To graph'!$G$30:$G$33</c:f>
              <c:numCache>
                <c:formatCode>_-"$"\ * #,##0.00_-;\-"$"\ * #,##0.00_-;_-"$"\ * "-"??_-;_-@_-</c:formatCode>
                <c:ptCount val="4"/>
                <c:pt idx="0">
                  <c:v>0</c:v>
                </c:pt>
                <c:pt idx="1">
                  <c:v>0</c:v>
                </c:pt>
                <c:pt idx="2">
                  <c:v>0</c:v>
                </c:pt>
                <c:pt idx="3">
                  <c:v>0</c:v>
                </c:pt>
              </c:numCache>
            </c:numRef>
          </c:val>
          <c:extLst>
            <c:ext xmlns:c16="http://schemas.microsoft.com/office/drawing/2014/chart" uri="{C3380CC4-5D6E-409C-BE32-E72D297353CC}">
              <c16:uniqueId val="{00000002-BDA1-42C0-98DB-B096CC49548F}"/>
            </c:ext>
          </c:extLst>
        </c:ser>
        <c:dLbls>
          <c:showLegendKey val="0"/>
          <c:showVal val="0"/>
          <c:showCatName val="0"/>
          <c:showSerName val="0"/>
          <c:showPercent val="0"/>
          <c:showBubbleSize val="0"/>
        </c:dLbls>
        <c:gapWidth val="219"/>
        <c:overlap val="-27"/>
        <c:axId val="901986399"/>
        <c:axId val="1117583151"/>
      </c:barChart>
      <c:catAx>
        <c:axId val="901986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17583151"/>
        <c:crosses val="autoZero"/>
        <c:auto val="1"/>
        <c:lblAlgn val="ctr"/>
        <c:lblOffset val="100"/>
        <c:noMultiLvlLbl val="0"/>
      </c:catAx>
      <c:valAx>
        <c:axId val="111758315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00_-;\-&quot;$&quot;\ * #,##0.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019863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sz="1800" b="1" i="0" baseline="0">
                <a:solidFill>
                  <a:srgbClr val="C00000"/>
                </a:solidFill>
                <a:effectLst/>
              </a:rPr>
              <a:t>On-Premise vs. Cloud Comparison</a:t>
            </a:r>
            <a:endParaRPr lang="en-US">
              <a:solidFill>
                <a:srgbClr val="C00000"/>
              </a:solidFil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611830228538506"/>
          <c:y val="0.16767290384630421"/>
          <c:w val="0.70844003683069035"/>
          <c:h val="0.74561912355892224"/>
        </c:manualLayout>
      </c:layout>
      <c:scatterChart>
        <c:scatterStyle val="lineMarker"/>
        <c:varyColors val="0"/>
        <c:ser>
          <c:idx val="0"/>
          <c:order val="0"/>
          <c:tx>
            <c:v>Costs</c:v>
          </c:tx>
          <c:spPr>
            <a:ln w="28575" cap="rnd">
              <a:solidFill>
                <a:schemeClr val="accent1"/>
              </a:solidFill>
              <a:round/>
            </a:ln>
            <a:effectLst/>
          </c:spPr>
          <c:marker>
            <c:symbol val="none"/>
          </c:marker>
          <c:dLbls>
            <c:dLbl>
              <c:idx val="0"/>
              <c:layout>
                <c:manualLayout>
                  <c:x val="-8.5866632524592965E-2"/>
                  <c:y val="-5.31216914668189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629-43C6-B861-9039387450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'To graph'!$E$38:$H$38</c:f>
              <c:strCache>
                <c:ptCount val="4"/>
                <c:pt idx="0">
                  <c:v>0</c:v>
                </c:pt>
                <c:pt idx="1">
                  <c:v>1  [$]</c:v>
                </c:pt>
                <c:pt idx="2">
                  <c:v>2  [$]</c:v>
                </c:pt>
                <c:pt idx="3">
                  <c:v>3  [$]</c:v>
                </c:pt>
              </c:strCache>
            </c:strRef>
          </c:xVal>
          <c:yVal>
            <c:numRef>
              <c:f>'To graph'!$E$39:$H$39</c:f>
              <c:numCache>
                <c:formatCode>_-"$"\ * #,##0.00_-;\-"$"\ * #,##0.00_-;_-"$"\ * "-"??_-;_-@_-</c:formatCode>
                <c:ptCount val="4"/>
                <c:pt idx="0">
                  <c:v>0</c:v>
                </c:pt>
                <c:pt idx="1">
                  <c:v>0</c:v>
                </c:pt>
                <c:pt idx="2">
                  <c:v>0</c:v>
                </c:pt>
                <c:pt idx="3">
                  <c:v>0</c:v>
                </c:pt>
              </c:numCache>
            </c:numRef>
          </c:yVal>
          <c:smooth val="0"/>
          <c:extLst>
            <c:ext xmlns:c16="http://schemas.microsoft.com/office/drawing/2014/chart" uri="{C3380CC4-5D6E-409C-BE32-E72D297353CC}">
              <c16:uniqueId val="{00000000-C629-43C6-B861-9039387450B2}"/>
            </c:ext>
          </c:extLst>
        </c:ser>
        <c:ser>
          <c:idx val="1"/>
          <c:order val="1"/>
          <c:tx>
            <c:strRef>
              <c:f>'To graph'!$C$40:$D$40</c:f>
              <c:strCache>
                <c:ptCount val="1"/>
                <c:pt idx="0">
                  <c:v>TCO/ Keep on premise</c:v>
                </c:pt>
              </c:strCache>
            </c:strRef>
          </c:tx>
          <c:spPr>
            <a:ln w="28575" cap="rnd">
              <a:solidFill>
                <a:schemeClr val="accent2"/>
              </a:solidFill>
              <a:prstDash val="sysDash"/>
              <a:round/>
            </a:ln>
            <a:effectLst/>
          </c:spPr>
          <c:marker>
            <c:symbol val="none"/>
          </c:marker>
          <c:xVal>
            <c:strRef>
              <c:f>'To graph'!$E$38:$H$38</c:f>
              <c:strCache>
                <c:ptCount val="4"/>
                <c:pt idx="0">
                  <c:v>0</c:v>
                </c:pt>
                <c:pt idx="1">
                  <c:v>1  [$]</c:v>
                </c:pt>
                <c:pt idx="2">
                  <c:v>2  [$]</c:v>
                </c:pt>
                <c:pt idx="3">
                  <c:v>3  [$]</c:v>
                </c:pt>
              </c:strCache>
            </c:strRef>
          </c:xVal>
          <c:yVal>
            <c:numRef>
              <c:f>'To graph'!$E$40:$H$40</c:f>
              <c:numCache>
                <c:formatCode>_-"$"\ * #,##0.00_-;\-"$"\ * #,##0.00_-;_-"$"\ * "-"??_-;_-@_-</c:formatCode>
                <c:ptCount val="4"/>
                <c:pt idx="0">
                  <c:v>0</c:v>
                </c:pt>
                <c:pt idx="1">
                  <c:v>0</c:v>
                </c:pt>
                <c:pt idx="2">
                  <c:v>0</c:v>
                </c:pt>
                <c:pt idx="3">
                  <c:v>0</c:v>
                </c:pt>
              </c:numCache>
            </c:numRef>
          </c:yVal>
          <c:smooth val="0"/>
          <c:extLst>
            <c:ext xmlns:c16="http://schemas.microsoft.com/office/drawing/2014/chart" uri="{C3380CC4-5D6E-409C-BE32-E72D297353CC}">
              <c16:uniqueId val="{00000006-C629-43C6-B861-9039387450B2}"/>
            </c:ext>
          </c:extLst>
        </c:ser>
        <c:ser>
          <c:idx val="2"/>
          <c:order val="2"/>
          <c:tx>
            <c:v>Payback</c:v>
          </c:tx>
          <c:spPr>
            <a:ln w="28575" cap="rnd">
              <a:solidFill>
                <a:schemeClr val="accent3">
                  <a:lumMod val="75000"/>
                </a:schemeClr>
              </a:solidFill>
              <a:round/>
            </a:ln>
            <a:effectLst/>
          </c:spPr>
          <c:marker>
            <c:symbol val="none"/>
          </c:marker>
          <c:xVal>
            <c:numRef>
              <c:f>'To graph'!$E$44:$E$45</c:f>
              <c:numCache>
                <c:formatCode>0.00</c:formatCode>
                <c:ptCount val="2"/>
                <c:pt idx="0">
                  <c:v>0</c:v>
                </c:pt>
                <c:pt idx="1">
                  <c:v>0</c:v>
                </c:pt>
              </c:numCache>
            </c:numRef>
          </c:xVal>
          <c:yVal>
            <c:numRef>
              <c:f>'To graph'!$C$44:$C$45</c:f>
              <c:numCache>
                <c:formatCode>_-"$"\ * #,##0.00_-;\-"$"\ * #,##0.00_-;_-"$"\ * "-"??_-;_-@_-</c:formatCode>
                <c:ptCount val="2"/>
                <c:pt idx="0" formatCode="General">
                  <c:v>0</c:v>
                </c:pt>
                <c:pt idx="1">
                  <c:v>0</c:v>
                </c:pt>
              </c:numCache>
            </c:numRef>
          </c:yVal>
          <c:smooth val="0"/>
          <c:extLst>
            <c:ext xmlns:c16="http://schemas.microsoft.com/office/drawing/2014/chart" uri="{C3380CC4-5D6E-409C-BE32-E72D297353CC}">
              <c16:uniqueId val="{0000000B-C629-43C6-B861-9039387450B2}"/>
            </c:ext>
          </c:extLst>
        </c:ser>
        <c:dLbls>
          <c:showLegendKey val="0"/>
          <c:showVal val="0"/>
          <c:showCatName val="0"/>
          <c:showSerName val="0"/>
          <c:showPercent val="0"/>
          <c:showBubbleSize val="0"/>
        </c:dLbls>
        <c:axId val="828133584"/>
        <c:axId val="615658000"/>
      </c:scatterChart>
      <c:valAx>
        <c:axId val="8281335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15658000"/>
        <c:crosses val="autoZero"/>
        <c:crossBetween val="midCat"/>
      </c:valAx>
      <c:valAx>
        <c:axId val="6156580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Costs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 #,##0.00_-;\-&quot;$&quot;\ * #,##0.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28133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1.png"/><Relationship Id="rId5" Type="http://schemas.openxmlformats.org/officeDocument/2006/relationships/chart" Target="../charts/chart7.xml"/><Relationship Id="rId4"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1038225</xdr:colOff>
          <xdr:row>18</xdr:row>
          <xdr:rowOff>9525</xdr:rowOff>
        </xdr:from>
        <xdr:to>
          <xdr:col>4</xdr:col>
          <xdr:colOff>466725</xdr:colOff>
          <xdr:row>19</xdr:row>
          <xdr:rowOff>28575</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1047750</xdr:colOff>
          <xdr:row>19</xdr:row>
          <xdr:rowOff>9525</xdr:rowOff>
        </xdr:from>
        <xdr:to>
          <xdr:col>4</xdr:col>
          <xdr:colOff>476250</xdr:colOff>
          <xdr:row>20</xdr:row>
          <xdr:rowOff>28575</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1047750</xdr:colOff>
          <xdr:row>20</xdr:row>
          <xdr:rowOff>9525</xdr:rowOff>
        </xdr:from>
        <xdr:to>
          <xdr:col>4</xdr:col>
          <xdr:colOff>533400</xdr:colOff>
          <xdr:row>21</xdr:row>
          <xdr:rowOff>28575</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21</xdr:row>
          <xdr:rowOff>0</xdr:rowOff>
        </xdr:from>
        <xdr:to>
          <xdr:col>4</xdr:col>
          <xdr:colOff>542925</xdr:colOff>
          <xdr:row>22</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1047750</xdr:colOff>
          <xdr:row>22</xdr:row>
          <xdr:rowOff>0</xdr:rowOff>
        </xdr:from>
        <xdr:to>
          <xdr:col>4</xdr:col>
          <xdr:colOff>533400</xdr:colOff>
          <xdr:row>23</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171450</xdr:colOff>
      <xdr:row>1</xdr:row>
      <xdr:rowOff>85725</xdr:rowOff>
    </xdr:from>
    <xdr:to>
      <xdr:col>2</xdr:col>
      <xdr:colOff>1743075</xdr:colOff>
      <xdr:row>3</xdr:row>
      <xdr:rowOff>228600</xdr:rowOff>
    </xdr:to>
    <xdr:pic>
      <xdr:nvPicPr>
        <xdr:cNvPr id="3" name="Picture 2">
          <a:extLst>
            <a:ext uri="{FF2B5EF4-FFF2-40B4-BE49-F238E27FC236}">
              <a16:creationId xmlns:a16="http://schemas.microsoft.com/office/drawing/2014/main" id="{70CCDDB3-C3F1-4CDB-A91F-E7299ED8F492}"/>
            </a:ext>
            <a:ext uri="{147F2762-F138-4A5C-976F-8EAC2B608ADB}">
              <a16:predDERef xmlns:a16="http://schemas.microsoft.com/office/drawing/2014/main" pred="{00000000-0008-0000-0000-00000D040000}"/>
            </a:ext>
          </a:extLst>
        </xdr:cNvPr>
        <xdr:cNvPicPr>
          <a:picLocks noChangeAspect="1"/>
        </xdr:cNvPicPr>
      </xdr:nvPicPr>
      <xdr:blipFill>
        <a:blip xmlns:r="http://schemas.openxmlformats.org/officeDocument/2006/relationships" r:embed="rId1"/>
        <a:stretch>
          <a:fillRect/>
        </a:stretch>
      </xdr:blipFill>
      <xdr:spPr>
        <a:xfrm>
          <a:off x="409575" y="285750"/>
          <a:ext cx="1828800" cy="638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1304925</xdr:colOff>
          <xdr:row>37</xdr:row>
          <xdr:rowOff>219075</xdr:rowOff>
        </xdr:from>
        <xdr:to>
          <xdr:col>4</xdr:col>
          <xdr:colOff>476250</xdr:colOff>
          <xdr:row>38</xdr:row>
          <xdr:rowOff>38100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1304925</xdr:colOff>
          <xdr:row>38</xdr:row>
          <xdr:rowOff>9525</xdr:rowOff>
        </xdr:from>
        <xdr:to>
          <xdr:col>4</xdr:col>
          <xdr:colOff>485775</xdr:colOff>
          <xdr:row>39</xdr:row>
          <xdr:rowOff>28575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1304925</xdr:colOff>
          <xdr:row>39</xdr:row>
          <xdr:rowOff>0</xdr:rowOff>
        </xdr:from>
        <xdr:to>
          <xdr:col>4</xdr:col>
          <xdr:colOff>485775</xdr:colOff>
          <xdr:row>40</xdr:row>
          <xdr:rowOff>19050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1276350</xdr:colOff>
          <xdr:row>64</xdr:row>
          <xdr:rowOff>200025</xdr:rowOff>
        </xdr:from>
        <xdr:to>
          <xdr:col>4</xdr:col>
          <xdr:colOff>447675</xdr:colOff>
          <xdr:row>65</xdr:row>
          <xdr:rowOff>9525</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1285875</xdr:colOff>
          <xdr:row>65</xdr:row>
          <xdr:rowOff>9525</xdr:rowOff>
        </xdr:from>
        <xdr:to>
          <xdr:col>4</xdr:col>
          <xdr:colOff>514350</xdr:colOff>
          <xdr:row>66</xdr:row>
          <xdr:rowOff>28575</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47625</xdr:colOff>
      <xdr:row>1</xdr:row>
      <xdr:rowOff>114300</xdr:rowOff>
    </xdr:from>
    <xdr:to>
      <xdr:col>2</xdr:col>
      <xdr:colOff>1876425</xdr:colOff>
      <xdr:row>4</xdr:row>
      <xdr:rowOff>66675</xdr:rowOff>
    </xdr:to>
    <xdr:pic>
      <xdr:nvPicPr>
        <xdr:cNvPr id="2" name="Picture 1">
          <a:extLst>
            <a:ext uri="{FF2B5EF4-FFF2-40B4-BE49-F238E27FC236}">
              <a16:creationId xmlns:a16="http://schemas.microsoft.com/office/drawing/2014/main" id="{B1FFB4CE-D347-8EE2-6A9C-162D1BAF3F02}"/>
            </a:ext>
            <a:ext uri="{147F2762-F138-4A5C-976F-8EAC2B608ADB}">
              <a16:predDERef xmlns:a16="http://schemas.microsoft.com/office/drawing/2014/main" pred="{00000000-0008-0000-0100-00000A080000}"/>
            </a:ext>
          </a:extLst>
        </xdr:cNvPr>
        <xdr:cNvPicPr>
          <a:picLocks noChangeAspect="1"/>
        </xdr:cNvPicPr>
      </xdr:nvPicPr>
      <xdr:blipFill>
        <a:blip xmlns:r="http://schemas.openxmlformats.org/officeDocument/2006/relationships" r:embed="rId1"/>
        <a:stretch>
          <a:fillRect/>
        </a:stretch>
      </xdr:blipFill>
      <xdr:spPr>
        <a:xfrm>
          <a:off x="638175" y="314325"/>
          <a:ext cx="1828800" cy="638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257175</xdr:colOff>
      <xdr:row>17</xdr:row>
      <xdr:rowOff>390525</xdr:rowOff>
    </xdr:from>
    <xdr:to>
      <xdr:col>16384</xdr:col>
      <xdr:colOff>0</xdr:colOff>
      <xdr:row>23</xdr:row>
      <xdr:rowOff>257175</xdr:rowOff>
    </xdr:to>
    <xdr:sp macro="" textlink="">
      <xdr:nvSpPr>
        <xdr:cNvPr id="4" name="Rectangular Callout 3">
          <a:extLst>
            <a:ext uri="{FF2B5EF4-FFF2-40B4-BE49-F238E27FC236}">
              <a16:creationId xmlns:a16="http://schemas.microsoft.com/office/drawing/2014/main" id="{00000000-0008-0000-0200-000004000000}"/>
            </a:ext>
            <a:ext uri="{147F2762-F138-4A5C-976F-8EAC2B608ADB}">
              <a16:predDERef xmlns:a16="http://schemas.microsoft.com/office/drawing/2014/main" pred="{00000000-0008-0000-0200-000003000000}"/>
            </a:ext>
          </a:extLst>
        </xdr:cNvPr>
        <xdr:cNvSpPr/>
      </xdr:nvSpPr>
      <xdr:spPr>
        <a:xfrm>
          <a:off x="8134350" y="4429125"/>
          <a:ext cx="4019550" cy="1704975"/>
        </a:xfrm>
        <a:prstGeom prst="wedgeRectCallou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marR="0" indent="0" algn="l">
            <a:lnSpc>
              <a:spcPct val="100000"/>
            </a:lnSpc>
            <a:spcBef>
              <a:spcPts val="0"/>
            </a:spcBef>
            <a:spcAft>
              <a:spcPts val="0"/>
            </a:spcAft>
          </a:pPr>
          <a:r>
            <a:rPr lang="en-US" sz="900" b="0" i="0" u="none" strike="noStrike">
              <a:solidFill>
                <a:schemeClr val="bg2">
                  <a:lumMod val="25000"/>
                </a:schemeClr>
              </a:solidFill>
              <a:latin typeface="Calibri" panose="020F0502020204030204" pitchFamily="34" charset="0"/>
              <a:cs typeface="Calibri" panose="020F0502020204030204" pitchFamily="34" charset="0"/>
            </a:rPr>
            <a:t>With these questions, We want to know how much you expect to get in return for each dollar invested in the infrastructure that supports the AMS &amp; CRM applications and for each dollar invested in evolutive development for these two applications.</a:t>
          </a:r>
        </a:p>
        <a:p>
          <a:pPr marL="0" marR="0" indent="0" algn="l">
            <a:lnSpc>
              <a:spcPct val="100000"/>
            </a:lnSpc>
            <a:spcBef>
              <a:spcPts val="0"/>
            </a:spcBef>
            <a:spcAft>
              <a:spcPts val="0"/>
            </a:spcAft>
          </a:pPr>
          <a:endParaRPr lang="en-US" sz="900" b="0" i="0" u="none" strike="noStrike">
            <a:solidFill>
              <a:schemeClr val="bg2">
                <a:lumMod val="25000"/>
              </a:schemeClr>
            </a:solidFill>
            <a:latin typeface="Calibri" panose="020F0502020204030204" pitchFamily="34" charset="0"/>
            <a:cs typeface="Calibri" panose="020F0502020204030204" pitchFamily="34" charset="0"/>
          </a:endParaRPr>
        </a:p>
        <a:p>
          <a:pPr marL="0" marR="0" indent="0" algn="l">
            <a:lnSpc>
              <a:spcPct val="100000"/>
            </a:lnSpc>
            <a:spcBef>
              <a:spcPts val="0"/>
            </a:spcBef>
            <a:spcAft>
              <a:spcPts val="0"/>
            </a:spcAft>
          </a:pPr>
          <a:r>
            <a:rPr lang="en-US" sz="900" b="0" i="0" u="none" strike="noStrike">
              <a:solidFill>
                <a:schemeClr val="bg2">
                  <a:lumMod val="25000"/>
                </a:schemeClr>
              </a:solidFill>
              <a:latin typeface="Calibri" panose="020F0502020204030204" pitchFamily="34" charset="0"/>
              <a:cs typeface="Calibri" panose="020F0502020204030204" pitchFamily="34" charset="0"/>
            </a:rPr>
            <a:t>The first question is in percentage terms and the second in monetary terms..</a:t>
          </a:r>
        </a:p>
        <a:p>
          <a:pPr marL="0" marR="0" indent="0" algn="l">
            <a:lnSpc>
              <a:spcPct val="100000"/>
            </a:lnSpc>
            <a:spcBef>
              <a:spcPts val="0"/>
            </a:spcBef>
            <a:spcAft>
              <a:spcPts val="0"/>
            </a:spcAft>
          </a:pPr>
          <a:endParaRPr lang="en-US" sz="900" b="0" i="0" u="none" strike="noStrike">
            <a:solidFill>
              <a:schemeClr val="bg2">
                <a:lumMod val="25000"/>
              </a:schemeClr>
            </a:solidFill>
            <a:latin typeface="Calibri" panose="020F0502020204030204" pitchFamily="34" charset="0"/>
            <a:cs typeface="Calibri" panose="020F0502020204030204" pitchFamily="34" charset="0"/>
          </a:endParaRPr>
        </a:p>
        <a:p>
          <a:pPr marL="0" marR="0" indent="0" algn="l">
            <a:lnSpc>
              <a:spcPct val="100000"/>
            </a:lnSpc>
            <a:spcBef>
              <a:spcPts val="0"/>
            </a:spcBef>
            <a:spcAft>
              <a:spcPts val="0"/>
            </a:spcAft>
          </a:pPr>
          <a:r>
            <a:rPr lang="en-US" sz="900" b="0" i="0" u="none" strike="noStrike">
              <a:solidFill>
                <a:schemeClr val="bg2">
                  <a:lumMod val="25000"/>
                </a:schemeClr>
              </a:solidFill>
              <a:latin typeface="Calibri" panose="020F0502020204030204" pitchFamily="34" charset="0"/>
              <a:cs typeface="Calibri" panose="020F0502020204030204" pitchFamily="34" charset="0"/>
            </a:rPr>
            <a:t>These questions are optional, so if you don't have this information, we can skip these questions for the BC.</a:t>
          </a:r>
        </a:p>
      </xdr:txBody>
    </xdr:sp>
    <xdr:clientData/>
  </xdr:twoCellAnchor>
  <xdr:twoCellAnchor editAs="oneCell">
    <xdr:from>
      <xdr:col>1</xdr:col>
      <xdr:colOff>219075</xdr:colOff>
      <xdr:row>1</xdr:row>
      <xdr:rowOff>19050</xdr:rowOff>
    </xdr:from>
    <xdr:to>
      <xdr:col>2</xdr:col>
      <xdr:colOff>1752600</xdr:colOff>
      <xdr:row>3</xdr:row>
      <xdr:rowOff>161925</xdr:rowOff>
    </xdr:to>
    <xdr:pic>
      <xdr:nvPicPr>
        <xdr:cNvPr id="2" name="Picture 1">
          <a:extLst>
            <a:ext uri="{FF2B5EF4-FFF2-40B4-BE49-F238E27FC236}">
              <a16:creationId xmlns:a16="http://schemas.microsoft.com/office/drawing/2014/main" id="{02AE29F7-1C8D-46FA-BA6A-97C387097365}"/>
            </a:ext>
            <a:ext uri="{147F2762-F138-4A5C-976F-8EAC2B608ADB}">
              <a16:predDERef xmlns:a16="http://schemas.microsoft.com/office/drawing/2014/main" pred="{00000000-0008-0000-0200-000004000000}"/>
            </a:ext>
          </a:extLst>
        </xdr:cNvPr>
        <xdr:cNvPicPr>
          <a:picLocks noChangeAspect="1"/>
        </xdr:cNvPicPr>
      </xdr:nvPicPr>
      <xdr:blipFill>
        <a:blip xmlns:r="http://schemas.openxmlformats.org/officeDocument/2006/relationships" r:embed="rId1"/>
        <a:stretch>
          <a:fillRect/>
        </a:stretch>
      </xdr:blipFill>
      <xdr:spPr>
        <a:xfrm>
          <a:off x="495300" y="219075"/>
          <a:ext cx="1828800" cy="6381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1</xdr:row>
      <xdr:rowOff>104775</xdr:rowOff>
    </xdr:from>
    <xdr:to>
      <xdr:col>2</xdr:col>
      <xdr:colOff>1809750</xdr:colOff>
      <xdr:row>3</xdr:row>
      <xdr:rowOff>247650</xdr:rowOff>
    </xdr:to>
    <xdr:pic>
      <xdr:nvPicPr>
        <xdr:cNvPr id="2" name="Picture 1">
          <a:extLst>
            <a:ext uri="{FF2B5EF4-FFF2-40B4-BE49-F238E27FC236}">
              <a16:creationId xmlns:a16="http://schemas.microsoft.com/office/drawing/2014/main" id="{0298E55A-DD8D-4C92-832D-C1F544448DE4}"/>
            </a:ext>
            <a:ext uri="{147F2762-F138-4A5C-976F-8EAC2B608ADB}">
              <a16:predDERef xmlns:a16="http://schemas.microsoft.com/office/drawing/2014/main" pred="{00000000-0008-0000-0200-000004000000}"/>
            </a:ext>
          </a:extLst>
        </xdr:cNvPr>
        <xdr:cNvPicPr>
          <a:picLocks noChangeAspect="1"/>
        </xdr:cNvPicPr>
      </xdr:nvPicPr>
      <xdr:blipFill>
        <a:blip xmlns:r="http://schemas.openxmlformats.org/officeDocument/2006/relationships" r:embed="rId1"/>
        <a:stretch>
          <a:fillRect/>
        </a:stretch>
      </xdr:blipFill>
      <xdr:spPr>
        <a:xfrm>
          <a:off x="571500" y="304800"/>
          <a:ext cx="1828800" cy="6381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2</xdr:col>
      <xdr:colOff>1828800</xdr:colOff>
      <xdr:row>3</xdr:row>
      <xdr:rowOff>114300</xdr:rowOff>
    </xdr:to>
    <xdr:pic>
      <xdr:nvPicPr>
        <xdr:cNvPr id="3" name="Picture 2">
          <a:extLst>
            <a:ext uri="{FF2B5EF4-FFF2-40B4-BE49-F238E27FC236}">
              <a16:creationId xmlns:a16="http://schemas.microsoft.com/office/drawing/2014/main" id="{E88E3A6B-3EB8-4063-9F4B-A713A63537D4}"/>
            </a:ext>
            <a:ext uri="{147F2762-F138-4A5C-976F-8EAC2B608ADB}">
              <a16:predDERef xmlns:a16="http://schemas.microsoft.com/office/drawing/2014/main" pred="{00000000-0008-0000-0200-000004000000}"/>
            </a:ext>
          </a:extLst>
        </xdr:cNvPr>
        <xdr:cNvPicPr>
          <a:picLocks noChangeAspect="1"/>
        </xdr:cNvPicPr>
      </xdr:nvPicPr>
      <xdr:blipFill>
        <a:blip xmlns:r="http://schemas.openxmlformats.org/officeDocument/2006/relationships" r:embed="rId1"/>
        <a:stretch>
          <a:fillRect/>
        </a:stretch>
      </xdr:blipFill>
      <xdr:spPr>
        <a:xfrm>
          <a:off x="666750" y="200025"/>
          <a:ext cx="1828800" cy="6381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0</xdr:colOff>
      <xdr:row>6</xdr:row>
      <xdr:rowOff>0</xdr:rowOff>
    </xdr:from>
    <xdr:to>
      <xdr:col>6</xdr:col>
      <xdr:colOff>304800</xdr:colOff>
      <xdr:row>7</xdr:row>
      <xdr:rowOff>120650</xdr:rowOff>
    </xdr:to>
    <xdr:sp macro="" textlink="">
      <xdr:nvSpPr>
        <xdr:cNvPr id="12298" name="avatar" descr="data:image/pjpeg;base64,/9j/4AAQSkZJRgABAQEAYABgAAD/2wBDAAEBAQEBAQEBAQEBAQEBAQEBAQEBAQEBAQEBAQEBAQEBAQEBAQEBAQEBAQEBAQEBAQEBAQEBAQEBAQEBAQEBAQH/2wBDAQEBAQEBAQEBAQEBAQEBAQEBAQEBAQEBAQEBAQEBAQEBAQEBAQEBAQEBAQEBAQEBAQEBAQEBAQEBAQEBAQEBAQH/wAARCABAAEADASIAAhEBAxEB/8QAHwAAAQUBAQEBAQEAAAAAAAAAAAECAwQFBgcICQoL/8QAtRAAAgEDAwIEAwUFBAQAAAF9AQIDAAQRBRIhMUEGE1FhByJxFDKBkaEII0KxwRVS0fAkM2JyggkKFhcYGRolJicoKSo0NTY3ODk6Q0RFRkdISUpTVFVWV1hZWmNkZWZnaGlqc3R1dnd4eXqDhIWGh4iJipKTlJWWl5iZmqKjpKWmp6ipqrKztLW2t7i5usLDxMXGx8jJytLT1NXW19jZ2uHi4+Tl5ufo6erx8vP09fb3+Pn6/8QAHwEAAwEBAQEBAQEBAQAAAAAAAAECAwQFBgcICQoL/8QAtREAAgECBAQDBAcFBAQAAQJ3AAECAxEEBSExBhJBUQdhcRMiMoEIFEKRobHBCSMzUvAVYnLRChYkNOEl8RcYGRomJygpKjU2Nzg5OkNERUZHSElKU1RVVldYWVpjZGVmZ2hpanN0dXZ3eHl6goOEhYaHiImKkpOUlZaXmJmaoqOkpaanqKmqsrO0tba3uLm6wsPExcbHyMnK0tPU1dbX2Nna4uPk5ebn6Onq8vP09fb3+Pn6/9oADAMBAAIRAxEAPwD+4Z5JVdx5snDv/Gx/iPuf50gmlB/1kh9t7f40kv8ArZcdPMfn/gR56/5+lfnj/wAFRf2w3/Yg/Y2+J3xl0eW1X4g3MEHgj4VwXaRzQv4/8TxXMOm6hLbyhorqLw3p9tqniiS0mUwXo0VbCXAuxXmVZqlGU5O0Yay+9bd29lruzuw2HqYqvRw1GPNVrVIUqa6Xk0k2+iW8n0Sbex8yf8FKP+C4f7PX/BP3VZfhbpOnXfxx/aG+yxXN18NfDmuQ6To/gyO6iWezk+IPio22prol3dwSJd2egWOmanrM1q0VxfQ6VZ3lleXH4WWH/Byf+3n4y1Sa+8L/AAl/Z90bT5WlTSfDU+ieOfE08rFW8uK+1WLx/oLu6AZaa1it1VlLtbeXuiH8uWpan4j+Ivi7xN468Za1qfiLX/EOq6j4i8Ra5rF5Nfarrms6ldvc3V9qN7cNJPdXl9e3DT3Uszl23TPyVxX1R4B1O28K6HPfR4XUbvT00m0kX79rb3UDS6m9uhwkU0tqYbFZVG/bNc4IMxI+bzPMcTCC+rycZNxUYJ7SurJy6pXvJvZJ26W/YMj4OyiKjHGUI4pqN6lWs3yt2SfJC/LBJ35PtO+snY/o++HX/Bf/APb5afRtR8ZfDX9m/XdC1CWdb6x09PFWk6nbTWc3l3NiurW/je7ttMckMI5LzQtVcKu5UmVWdv31/Yq/4KjfCX9rm/tvAup6TqXwh+Mc1o91beBvEGrQ6rpPiiK3jeW8n8BeLI4NOh8RraRI809hdaZpGsiCO5ubfTruxsru9i/gk8I3s+g6LaanqlvdDQNT1txBeQOUcXZt0k1BbeXICXscEdjcW+crl2kdX3SA++/Dj4m6ra687aNrM/h7x54F1qx1jTdZ0iY6ddSSWt1BPoniW2NsYxFfRzGwu7LXLWOC5ljuEXUk8vzGr55cQ5phK/tKklicLGdqkeW0uRyinKFTmcouDfK73je3Mtbx9/GcAcO5hg3Sw1JZfjXCToV6Um4e0S5oxqUbqlOEt7JRm43cJpqz/wBJMyykf6yT/vtv0560yKaXzY/3kn+sT+Nv7w96+Sv2Hf2hLj9pz9mf4cfFTVlt4vFl1Y3Hh/xzb2qLFBH4w8OTtpur3UMCfLa22tLHbeIbG1Vm+zWGr2sJYshNfWaDE8eP+eif+hD/ADzzX6LhaixNClXoz5qdeEKtNptXjOEZRdlfVp6roz+f8Vha2X4vFYHExUK+Fr1aFaN9FUpTcJpPqrrR7NWa0Y2X/Wyf9dH/APQj9a/jj/4Oi/jw1zqvwK/Z5sLs/ZtB0fV/iX4jtYpP3cuoeI7ttB8PLcpnaLjTbHQNZniBG5bfXkcYWXJ/sT1KdraG/uFXc0Ed1MqnoTEruAenGRzjHGcV/nX/APBZ/XdU+O3/AAUF+MEsM00ui6B4vbwLFcyv5kNlpPw6s7Xwrq2oKyjyxaPdeHdX1dyhEYNzKQoBVR5mb140qFKEnaNSvFz1s1To3rNrv70IJ+p9bwPhHiM2q11Fv6phKk4af8va8oYWC9eStVkuzhdapNfGP7Ln7H3if43+H/7eDf2b4cvLie2j1CW6stPWS60+5a2eKA3rNLOqyLcCWa3s7iGNkEZkeUSxRfrhoP8AwSL8N+NfA8L+G/iReeF/GFqt5Gum+I7jTvEmj3jfYR9hvI9T0Ow0qe2ja7WCGaCSwmlSJLqUNKTCJPxK+KPxr/aX/ZZ+CnwS8Y+D/iJJouk/Ejxh8UbDwd4HsPBng690bSfC/gHxDBb+IJ/EWpa/omu31/4l1fxFrc8UKWk2nQ6VplkJ3SWa9jjtP2w/4JPft+Xn7V+qeMvC+s+HJ/CniTwZq+nrbQG9/tCHVfC2v3V/HoFzPdraWELa5apZNaa99ms7TT7q62anptpp9rejStN/PMz/ALZpQqZiq2Hlgo4hwjGjKXtKUXUVGPtIzhFTvK0JOPPyy20Tkft+CxOU1KkMspwxFDMVh1OUq1On7KtKNJVqkacoVJte4pVIKpGDcF/NaB2nxB/4JmeJ9I/Zr8JeCI9e8Ly/Ebw38UL/AMQXurprHkaFeeFdR8K2VlKiPdWkN411b6rAyWkT2qvsWSSTakiMPgP4hfs5+JvhT/wi3i+8VbXWtBc6F4j1W11Oy1Tw74g0bVbi28P2EUdxaSC603UdON9byiPVbC1truyilngvXuLT7Gv2r/wWe/b78WfsfX3hv4XeAdGstZ+JvjG21K5t7nWVubnQfDOjaW0Frc6nPZWk9pJqupXV7O0OlWhuorSM2lze6iZ4II9Ov/yV+FHxV/aG/an/AGY/ir8TLj4g+Ibpvh7rvgvwJ8WvCfibw54GOgazN46XxJq/hvxT8Ob/AMIeEPBl/wCGZ9NvfDWn6Xe+HNZm8WTvHdPrK64yMljFz4bB5pWw8MbKrh6WCqV5Qcaspe1qKrN06rUIQklGTU1H2kopzSa5fdmaxzTLqNf6hL6ziMc6cK0XQhTVGnLljVoRnKpWpu/vQk1SU7Qk78zTif2g/wDBDrxq4+Hfxe+GF9MYZtM17QfHOnWMrDzmXWtOfw9q8sMeTtis4fD3hmCcAbRdXDHksS37sxH97Gef9YpP/fQyf89PWv44f+CKP7RVw3xg+Hs99cqieKvDeoeF9YUyLGbuG+h0+8DSEkjbps1pBrMjMTi30+dcITx/Y5H/AKxP99f5iv0Tg2tKpk6oVlavgMTXwlTW692bqU2uy5JqC8oH4l4l4COF4mq4qlrQzXC4XH03b7UqUaNVXsrtzpOo/OpYWb/Wy/8AXR//AEI1/nV/8FUPCeu/B/4l/tdwXAD6vL47uIdFvsIzNonjPUo/GMEsUiEx+bNpWspBqMIy0M0TWriNxPEf9FkxPLcSIoOTI/QZ/jP+Nfx6/wDBXn4H6d8Xv2gfFXgOGSJdSk8Ay+K9RCxoJJLvVPHvijUYY5Agy8tpo19ZNHvBZLVoY1Bi2hObihRpYfCYqduXD42k6l7tOk5R9orLe/LHf7Kkranb4bzqSzPMcHTWuKy2ryO3wVaTvSm3dWS55R0d25K21n8I/Aj9l/8AZ7/bb+EfiL4d/EDUNYuPBx+IB+LfgRNM1CLydOsfitoun+MYtS0e4ljkvtAv7TVNU8TeBfEum6Je6Vbajd+EUtfEVlfXmh6a9h+onwB/Yp+Bf7IMHgTSPg7p+kaPpOma2dU1+0n1dY/EPiqW6NvDLq11quv3+o3+qX0cltZRw2c19Hp1vbxva6XBp7TS+d+AHhO9+MX/AATA8Jp4+tPDUHxB+Hni7xbbaR4h0K8u73T7q2trK1ub2zudD12KK9j8P3tlf3uqEJNpuo6TqC61I11p321oLy0/ZP8AZ4/bX/Zk/bG+F8Gv+J/D840vRfEC6XdaP8RfD0TXmh+JbOytbxnstS019U08K9teqLe/s9RtLm6tnkjubO2LTWq/nOaQxkaU69OtWrZO68fZ1FUvThWSikq1Jy9yo5bS5bOLUU/sr9zymnl88XSp4mi8PmU6NWOJWHw0KuJlh6qmpzwzlKlGraL+D21OSaburOT+nf2s/wBiH9mD9u4XMHxasU1K5s5hdaPremaskfiLw5JNJLme21LR7u2uYftoV476xluJ9IvjDCbiyuZ7G0uIPmH4qfsZ/sufsTfsM/FrSfBeu6tpvhvwboerePYodYv4l0uTxii2dtYavfpBHHeeKPFeuXCad4Q8Py+Jb3XJNJj1KTS/DKaXFq+pJfeg/tFftx/AD9kb4V2XifTfDGva5p+ua1/wjvhzRfAuhLAmq+IRpc95Gt9rWryadp8NtBZaeEur9rnUr23t0gS3srrbHBX8/wB8W/j7+0Z/wUr8aeGvB2vi1+HXwbh8SWk+kfDfQbq5vLS51PLw22s+L9amjtbjxXq9hBcSraM1npujaZGZG03R7W9ubu8u98rw+OxNGNepXnQyinUdWdSVT3JOMlKqsPS5venK0oc/LyxXMpS0cXzZjhMvp4iawcK9fMIKnQoRqUKdKpGEYwjSni6ic1BRilP2ca05XUOV2XOfU3/BPS+ufgz4i+APijUNs+jw+KLPw54iuQzGEyW+pvb6ttdMlFvfD98kltMSDLHLI0QYQk1/oU6VK09vZu+fM+WN933i8chjLt6F9gkweRuAOcGv4h/hn8CdF+GV78M/DWuTyah4R8RavowvrBJmtr21k0+W2t9Au7KdY55YLxrfT7iOQxxs08VyiOpWTNf20+EbPWbPw54Yi8QSi41waRpDa1cIMRzas9rA2pPGMnEbXhm8sZJCbQSx5P2fAteVeWcVNOSpiKVWCV7+8qi5pdnKMYxik3pBvqfl3ixh6dP/AFeik+enhcRRlLdTjTlRtGLvryTlUc20v4kEm9eX0KxgRTJIfvNJJg+g3k859Qfzr+Nf9ob4g/8ACa/t+/G7xXYzi60+38bax4P0+HeGh/sDwulr4QEag/cS/wD7Ka+UHAWeUuo+ZiP65dL8F6lZ6v4w1ew1K7t73xTNHNc3Lap4ivxDJptwqaRHZ6HqepXegaVHBpivZ3baJaaYuoO4n1CG8kAK/wAh37Qvij4Z/DT48+P/AAnZ/Dq0s9ZttH+Gkmp66brVl1fSfH1/4T0jW/Hmm6jExQX0uneINV8QaZcyzs4vby3s7uYP5Clo4xxeMrUcNhsPkeaVsNOrGNfFTnlmHjSqNOE26E8yliKtOi37RVKFOp7Wm1KKjVjKjHLwooUI5pmU54ihUxP1NKjTpe2mlRdaEpzc3SpxjKVqceR6qSnvG05eF/8ABQbVPCFz8BLP4Mzaat7qfje9h1JfLaJZ9M0fTLu0ury8SSSKUW9zfzRW+mWriN/3cN9Jw8YrA/4J32P7I3hz4SSfDdNWtfCWvt4iOua7aa897dw6hrLJHbS3Sao4uhbFrWGGIadqM1pNb+X5dst3brHdS+T/ALUfirw9rN9JrskEp1LTfDmk3kE8YmdLrTriSa0ms54WDCK5s7pY7i2lhCiSCW7S5w8NsW/MjwH4S1nxz8SdIv8AS9P1m00q88Q2dnqOs2Czwf2daSXUS3cs0sZWSIxW7tMqvgvhdgYMpKyrh3BZlkFDA4hYmMp11iKkqUuSbq2Xs7xcakJ0vZOm3GcLqcbtwnGSX7vicNhqUMNjaOIp0MbKNSE5z5ZONKcoy9x8ylG2y5HFu84NO9l+y/8AwWR1r4X638OP2dPgt8NxaarLpnijW/Gep65YpPBYpJqGmR6Da2MJkgiW8kWMTXdxPEXS2gEaxFzcSmLyf9j34SaL4Oh03VZYYZ/Ek1g/9iWUij7PoumSxsLzxBqzY/dyXEIldQ2GEGBDHuit528C+Lvww1/w4NFvdU0zWJoINVvrHTNfvxNONUtrTzYoLi1llZnmSSCVLlRn5EkXcEORXs+keKNY8P8AhrT9F0qK6g1jxY1rJqV2qSrM9u7RiOAyFC0Gm6dAiLHax7YtyRo/mNHGV87PMsqYOnSynBOcaNNJNVXHmtJJy5mowiotK94rrbW7ZyU8BRwdadsVHFyqRVaWITvzSqWm+stVfla5rK3Lpay/T3wp4Nm+LXxc+CWh+HozfhfFtqtuWQBbqWw1G0ie5k/hj8z7ZPdQHaUgXyjhVjyP67Et1eztATl444DuHdlVd3X3yMHJUZHWv5AfhB4p1/4a+E9P8faDbTt4p8P6h4cXwfE0ciy3msXGsWM0lsny7maTT7KYsi5Z3Xy8Hcc/2FQxSxWsIkRg6xRB8qeX2rvz9WznkjnrXscB0vY0Myi9Wq9GK2tyqFSzVuvM5rezSXa5+LeL/tI4vJbOPsVRxsY2d6ntOfDyq817rl5J0eV2+Lm8j//Z">
          <a:extLst>
            <a:ext uri="{FF2B5EF4-FFF2-40B4-BE49-F238E27FC236}">
              <a16:creationId xmlns:a16="http://schemas.microsoft.com/office/drawing/2014/main" id="{00000000-0008-0000-0600-00000A300000}"/>
            </a:ext>
          </a:extLst>
        </xdr:cNvPr>
        <xdr:cNvSpPr>
          <a:spLocks noChangeAspect="1" noChangeArrowheads="1"/>
        </xdr:cNvSpPr>
      </xdr:nvSpPr>
      <xdr:spPr bwMode="auto">
        <a:xfrm>
          <a:off x="6115050" y="140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5</xdr:col>
      <xdr:colOff>206374</xdr:colOff>
      <xdr:row>40</xdr:row>
      <xdr:rowOff>161924</xdr:rowOff>
    </xdr:from>
    <xdr:to>
      <xdr:col>9</xdr:col>
      <xdr:colOff>609599</xdr:colOff>
      <xdr:row>56</xdr:row>
      <xdr:rowOff>171449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615950</xdr:colOff>
      <xdr:row>59</xdr:row>
      <xdr:rowOff>0</xdr:rowOff>
    </xdr:from>
    <xdr:to>
      <xdr:col>10</xdr:col>
      <xdr:colOff>288213</xdr:colOff>
      <xdr:row>81</xdr:row>
      <xdr:rowOff>62219</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323850</xdr:colOff>
      <xdr:row>2</xdr:row>
      <xdr:rowOff>28575</xdr:rowOff>
    </xdr:from>
    <xdr:to>
      <xdr:col>4</xdr:col>
      <xdr:colOff>247650</xdr:colOff>
      <xdr:row>4</xdr:row>
      <xdr:rowOff>76200</xdr:rowOff>
    </xdr:to>
    <xdr:pic>
      <xdr:nvPicPr>
        <xdr:cNvPr id="4" name="Picture 3">
          <a:extLst>
            <a:ext uri="{FF2B5EF4-FFF2-40B4-BE49-F238E27FC236}">
              <a16:creationId xmlns:a16="http://schemas.microsoft.com/office/drawing/2014/main" id="{DBCD5E1C-69F9-4CF5-83A5-5EFE091C6620}"/>
            </a:ext>
            <a:ext uri="{147F2762-F138-4A5C-976F-8EAC2B608ADB}">
              <a16:predDERef xmlns:a16="http://schemas.microsoft.com/office/drawing/2014/main" pred="{00000000-0008-0000-0600-000005000000}"/>
            </a:ext>
          </a:extLst>
        </xdr:cNvPr>
        <xdr:cNvPicPr>
          <a:picLocks noChangeAspect="1"/>
        </xdr:cNvPicPr>
      </xdr:nvPicPr>
      <xdr:blipFill>
        <a:blip xmlns:r="http://schemas.openxmlformats.org/officeDocument/2006/relationships" r:embed="rId3"/>
        <a:stretch>
          <a:fillRect/>
        </a:stretch>
      </xdr:blipFill>
      <xdr:spPr>
        <a:xfrm>
          <a:off x="647700" y="428625"/>
          <a:ext cx="1828800" cy="638175"/>
        </a:xfrm>
        <a:prstGeom prst="rect">
          <a:avLst/>
        </a:prstGeom>
      </xdr:spPr>
    </xdr:pic>
    <xdr:clientData/>
  </xdr:twoCellAnchor>
</xdr:wsDr>
</file>

<file path=xl/drawings/drawing7.xml><?xml version="1.0" encoding="utf-8"?>
<c:userShapes xmlns:c="http://schemas.openxmlformats.org/drawingml/2006/chart">
  <cdr:relSizeAnchor xmlns:cdr="http://schemas.openxmlformats.org/drawingml/2006/chartDrawing">
    <cdr:from>
      <cdr:x>0.29144</cdr:x>
      <cdr:y>0.15741</cdr:y>
    </cdr:from>
    <cdr:to>
      <cdr:x>0.56768</cdr:x>
      <cdr:y>0.23611</cdr:y>
    </cdr:to>
    <cdr:sp macro="" textlink="">
      <cdr:nvSpPr>
        <cdr:cNvPr id="2" name="TextBox 1">
          <a:extLst xmlns:a="http://schemas.openxmlformats.org/drawingml/2006/main">
            <a:ext uri="{FF2B5EF4-FFF2-40B4-BE49-F238E27FC236}">
              <a16:creationId xmlns:a16="http://schemas.microsoft.com/office/drawing/2014/main" id="{F6CCDA41-8599-4D29-824E-C778B1387B96}"/>
            </a:ext>
          </a:extLst>
        </cdr:cNvPr>
        <cdr:cNvSpPr txBox="1"/>
      </cdr:nvSpPr>
      <cdr:spPr>
        <a:xfrm xmlns:a="http://schemas.openxmlformats.org/drawingml/2006/main">
          <a:off x="1339850" y="431801"/>
          <a:ext cx="1270000" cy="215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CO" sz="1100"/>
        </a:p>
      </cdr:txBody>
    </cdr:sp>
  </cdr:relSizeAnchor>
  <cdr:relSizeAnchor xmlns:cdr="http://schemas.openxmlformats.org/drawingml/2006/chartDrawing">
    <cdr:from>
      <cdr:x>0.29453</cdr:x>
      <cdr:y>0.08542</cdr:y>
    </cdr:from>
    <cdr:to>
      <cdr:x>0.54867</cdr:x>
      <cdr:y>0.16412</cdr:y>
    </cdr:to>
    <cdr:sp macro="" textlink="">
      <cdr:nvSpPr>
        <cdr:cNvPr id="3" name="TextBox 2">
          <a:extLst xmlns:a="http://schemas.openxmlformats.org/drawingml/2006/main">
            <a:ext uri="{FF2B5EF4-FFF2-40B4-BE49-F238E27FC236}">
              <a16:creationId xmlns:a16="http://schemas.microsoft.com/office/drawing/2014/main" id="{6EE93AB8-E24A-4663-AAD9-1AD3AFB49422}"/>
            </a:ext>
          </a:extLst>
        </cdr:cNvPr>
        <cdr:cNvSpPr txBox="1"/>
      </cdr:nvSpPr>
      <cdr:spPr>
        <a:xfrm xmlns:a="http://schemas.openxmlformats.org/drawingml/2006/main">
          <a:off x="1967010" y="266992"/>
          <a:ext cx="1697266" cy="2459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900">
              <a:solidFill>
                <a:srgbClr val="FF0000"/>
              </a:solidFill>
            </a:rPr>
            <a:t>Investment (P1)</a:t>
          </a:r>
        </a:p>
      </cdr:txBody>
    </cdr:sp>
  </cdr:relSizeAnchor>
  <cdr:relSizeAnchor xmlns:cdr="http://schemas.openxmlformats.org/drawingml/2006/chartDrawing">
    <cdr:from>
      <cdr:x>0.76207</cdr:x>
      <cdr:y>0.64583</cdr:y>
    </cdr:from>
    <cdr:to>
      <cdr:x>1</cdr:x>
      <cdr:y>0.89987</cdr:y>
    </cdr:to>
    <cdr:sp macro="" textlink="">
      <cdr:nvSpPr>
        <cdr:cNvPr id="4" name="TextBox 3">
          <a:extLst xmlns:a="http://schemas.openxmlformats.org/drawingml/2006/main">
            <a:ext uri="{FF2B5EF4-FFF2-40B4-BE49-F238E27FC236}">
              <a16:creationId xmlns:a16="http://schemas.microsoft.com/office/drawing/2014/main" id="{1C838946-AE96-4497-8F95-2980044EA4B6}"/>
            </a:ext>
          </a:extLst>
        </cdr:cNvPr>
        <cdr:cNvSpPr txBox="1"/>
      </cdr:nvSpPr>
      <cdr:spPr>
        <a:xfrm xmlns:a="http://schemas.openxmlformats.org/drawingml/2006/main">
          <a:off x="5658837" y="2584069"/>
          <a:ext cx="1766776" cy="101645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900">
              <a:solidFill>
                <a:srgbClr val="FF0000"/>
              </a:solidFill>
            </a:rPr>
            <a:t>Optimized</a:t>
          </a:r>
          <a:r>
            <a:rPr lang="es-CO" sz="900" baseline="0">
              <a:solidFill>
                <a:srgbClr val="FF0000"/>
              </a:solidFill>
            </a:rPr>
            <a:t> TCO Azure (Re-Architect) Migration P2 -  DevOps, Apps modernization and other Business Value</a:t>
          </a:r>
          <a:endParaRPr lang="es-CO" sz="900">
            <a:solidFill>
              <a:srgbClr val="FF0000"/>
            </a:solidFill>
          </a:endParaRPr>
        </a:p>
      </cdr:txBody>
    </cdr:sp>
  </cdr:relSizeAnchor>
  <cdr:relSizeAnchor xmlns:cdr="http://schemas.openxmlformats.org/drawingml/2006/chartDrawing">
    <cdr:from>
      <cdr:x>0.34339</cdr:x>
      <cdr:y>0.51594</cdr:y>
    </cdr:from>
    <cdr:to>
      <cdr:x>0.54501</cdr:x>
      <cdr:y>0.69667</cdr:y>
    </cdr:to>
    <cdr:sp macro="" textlink="">
      <cdr:nvSpPr>
        <cdr:cNvPr id="5" name="TextBox 4">
          <a:extLst xmlns:a="http://schemas.openxmlformats.org/drawingml/2006/main">
            <a:ext uri="{FF2B5EF4-FFF2-40B4-BE49-F238E27FC236}">
              <a16:creationId xmlns:a16="http://schemas.microsoft.com/office/drawing/2014/main" id="{D6ACBBC0-DFE6-427F-88F3-61AD8C6F616B}"/>
            </a:ext>
          </a:extLst>
        </cdr:cNvPr>
        <cdr:cNvSpPr txBox="1"/>
      </cdr:nvSpPr>
      <cdr:spPr>
        <a:xfrm xmlns:a="http://schemas.openxmlformats.org/drawingml/2006/main">
          <a:off x="2549903" y="2064372"/>
          <a:ext cx="1497152" cy="72313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900">
              <a:solidFill>
                <a:srgbClr val="FF0000"/>
              </a:solidFill>
              <a:effectLst/>
              <a:latin typeface="+mn-lt"/>
              <a:ea typeface="+mn-ea"/>
              <a:cs typeface="+mn-cs"/>
            </a:rPr>
            <a:t>Optimized</a:t>
          </a:r>
          <a:r>
            <a:rPr lang="es-CO" sz="900" baseline="0">
              <a:solidFill>
                <a:srgbClr val="FF0000"/>
              </a:solidFill>
              <a:effectLst/>
              <a:latin typeface="+mn-lt"/>
              <a:ea typeface="+mn-ea"/>
              <a:cs typeface="+mn-cs"/>
            </a:rPr>
            <a:t> </a:t>
          </a:r>
          <a:r>
            <a:rPr lang="es-CO" sz="900">
              <a:solidFill>
                <a:srgbClr val="FF0000"/>
              </a:solidFill>
              <a:effectLst/>
              <a:latin typeface="+mn-lt"/>
              <a:ea typeface="+mn-ea"/>
              <a:cs typeface="+mn-cs"/>
            </a:rPr>
            <a:t>TCO</a:t>
          </a:r>
          <a:r>
            <a:rPr lang="es-CO" sz="900" baseline="0">
              <a:solidFill>
                <a:srgbClr val="FF0000"/>
              </a:solidFill>
              <a:effectLst/>
              <a:latin typeface="+mn-lt"/>
              <a:ea typeface="+mn-ea"/>
              <a:cs typeface="+mn-cs"/>
            </a:rPr>
            <a:t> </a:t>
          </a:r>
          <a:r>
            <a:rPr lang="es-CO" sz="900">
              <a:solidFill>
                <a:srgbClr val="FF0000"/>
              </a:solidFill>
              <a:effectLst/>
              <a:latin typeface="+mn-lt"/>
              <a:ea typeface="+mn-ea"/>
              <a:cs typeface="+mn-cs"/>
            </a:rPr>
            <a:t>Azure</a:t>
          </a:r>
          <a:endParaRPr lang="es-CO" sz="900">
            <a:solidFill>
              <a:srgbClr val="FF0000"/>
            </a:solidFill>
            <a:effectLst/>
          </a:endParaRPr>
        </a:p>
        <a:p xmlns:a="http://schemas.openxmlformats.org/drawingml/2006/main">
          <a:r>
            <a:rPr lang="es-CO" sz="900" baseline="0">
              <a:solidFill>
                <a:srgbClr val="FF0000"/>
              </a:solidFill>
              <a:effectLst/>
              <a:latin typeface="+mn-lt"/>
              <a:ea typeface="+mn-ea"/>
              <a:cs typeface="+mn-cs"/>
            </a:rPr>
            <a:t>(</a:t>
          </a:r>
          <a:r>
            <a:rPr lang="es-CO" sz="900">
              <a:solidFill>
                <a:srgbClr val="FF0000"/>
              </a:solidFill>
              <a:effectLst/>
              <a:latin typeface="+mn-lt"/>
              <a:ea typeface="+mn-ea"/>
              <a:cs typeface="+mn-cs"/>
            </a:rPr>
            <a:t>re-host</a:t>
          </a:r>
          <a:r>
            <a:rPr lang="es-CO" sz="900" baseline="0">
              <a:solidFill>
                <a:srgbClr val="FF0000"/>
              </a:solidFill>
              <a:effectLst/>
              <a:latin typeface="+mn-lt"/>
              <a:ea typeface="+mn-ea"/>
              <a:cs typeface="+mn-cs"/>
            </a:rPr>
            <a:t>/</a:t>
          </a:r>
          <a:r>
            <a:rPr lang="es-CO" sz="900">
              <a:solidFill>
                <a:srgbClr val="FF0000"/>
              </a:solidFill>
              <a:effectLst/>
              <a:latin typeface="+mn-lt"/>
              <a:ea typeface="+mn-ea"/>
              <a:cs typeface="+mn-cs"/>
            </a:rPr>
            <a:t>replatform</a:t>
          </a:r>
          <a:r>
            <a:rPr lang="es-CO" sz="900" baseline="0">
              <a:solidFill>
                <a:srgbClr val="FF0000"/>
              </a:solidFill>
              <a:effectLst/>
              <a:latin typeface="+mn-lt"/>
              <a:ea typeface="+mn-ea"/>
              <a:cs typeface="+mn-cs"/>
            </a:rPr>
            <a:t>)</a:t>
          </a:r>
          <a:endParaRPr lang="es-CO" sz="900">
            <a:solidFill>
              <a:srgbClr val="FF0000"/>
            </a:solidFill>
            <a:effectLst/>
          </a:endParaRPr>
        </a:p>
        <a:p xmlns:a="http://schemas.openxmlformats.org/drawingml/2006/main">
          <a:endParaRPr lang="es-CO" sz="1100"/>
        </a:p>
      </cdr:txBody>
    </cdr:sp>
  </cdr:relSizeAnchor>
  <cdr:relSizeAnchor xmlns:cdr="http://schemas.openxmlformats.org/drawingml/2006/chartDrawing">
    <cdr:from>
      <cdr:x>0.82352</cdr:x>
      <cdr:y>0.18959</cdr:y>
    </cdr:from>
    <cdr:to>
      <cdr:x>1</cdr:x>
      <cdr:y>0.28911</cdr:y>
    </cdr:to>
    <cdr:sp macro="" textlink="">
      <cdr:nvSpPr>
        <cdr:cNvPr id="6" name="TextBox 5">
          <a:extLst xmlns:a="http://schemas.openxmlformats.org/drawingml/2006/main">
            <a:ext uri="{FF2B5EF4-FFF2-40B4-BE49-F238E27FC236}">
              <a16:creationId xmlns:a16="http://schemas.microsoft.com/office/drawing/2014/main" id="{A6C9CF6F-1E88-48F5-A660-08BDA89D4F1F}"/>
            </a:ext>
          </a:extLst>
        </cdr:cNvPr>
        <cdr:cNvSpPr txBox="1"/>
      </cdr:nvSpPr>
      <cdr:spPr>
        <a:xfrm xmlns:a="http://schemas.openxmlformats.org/drawingml/2006/main">
          <a:off x="6115141" y="758561"/>
          <a:ext cx="1310472" cy="39819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s-CO" sz="900">
              <a:solidFill>
                <a:srgbClr val="FF0000"/>
              </a:solidFill>
            </a:rPr>
            <a:t>TCO/Keep</a:t>
          </a:r>
          <a:r>
            <a:rPr lang="es-CO" sz="900" baseline="0">
              <a:solidFill>
                <a:srgbClr val="FF0000"/>
              </a:solidFill>
            </a:rPr>
            <a:t> On Premise</a:t>
          </a:r>
          <a:endParaRPr lang="es-CO" sz="900">
            <a:solidFill>
              <a:srgbClr val="FF000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1</xdr:col>
      <xdr:colOff>303036</xdr:colOff>
      <xdr:row>9</xdr:row>
      <xdr:rowOff>43038</xdr:rowOff>
    </xdr:from>
    <xdr:to>
      <xdr:col>14</xdr:col>
      <xdr:colOff>557388</xdr:colOff>
      <xdr:row>38</xdr:row>
      <xdr:rowOff>63500</xdr:rowOff>
    </xdr:to>
    <xdr:graphicFrame macro="">
      <xdr:nvGraphicFramePr>
        <xdr:cNvPr id="2" name="Graph_Cost_1_year_Legacy_Cloud">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418922</xdr:colOff>
      <xdr:row>9</xdr:row>
      <xdr:rowOff>19668</xdr:rowOff>
    </xdr:from>
    <xdr:to>
      <xdr:col>29</xdr:col>
      <xdr:colOff>437444</xdr:colOff>
      <xdr:row>37</xdr:row>
      <xdr:rowOff>35278</xdr:rowOff>
    </xdr:to>
    <xdr:graphicFrame macro="">
      <xdr:nvGraphicFramePr>
        <xdr:cNvPr id="3" name="Graph_cost_2_year_Legacy_cloud">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300330</xdr:colOff>
      <xdr:row>40</xdr:row>
      <xdr:rowOff>118533</xdr:rowOff>
    </xdr:from>
    <xdr:to>
      <xdr:col>14</xdr:col>
      <xdr:colOff>444500</xdr:colOff>
      <xdr:row>68</xdr:row>
      <xdr:rowOff>42332</xdr:rowOff>
    </xdr:to>
    <xdr:graphicFrame macro="">
      <xdr:nvGraphicFramePr>
        <xdr:cNvPr id="4" name="Graph_cost_3_year_Legacy_cloud">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125335</xdr:colOff>
      <xdr:row>80</xdr:row>
      <xdr:rowOff>85046</xdr:rowOff>
    </xdr:from>
    <xdr:to>
      <xdr:col>17</xdr:col>
      <xdr:colOff>299357</xdr:colOff>
      <xdr:row>108</xdr:row>
      <xdr:rowOff>136072</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365654</xdr:colOff>
      <xdr:row>40</xdr:row>
      <xdr:rowOff>24341</xdr:rowOff>
    </xdr:from>
    <xdr:to>
      <xdr:col>32</xdr:col>
      <xdr:colOff>317500</xdr:colOff>
      <xdr:row>70</xdr:row>
      <xdr:rowOff>148165</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384176</xdr:colOff>
      <xdr:row>73</xdr:row>
      <xdr:rowOff>71211</xdr:rowOff>
    </xdr:from>
    <xdr:to>
      <xdr:col>24</xdr:col>
      <xdr:colOff>416078</xdr:colOff>
      <xdr:row>78</xdr:row>
      <xdr:rowOff>154063</xdr:rowOff>
    </xdr:to>
    <xdr:sp macro="" textlink="">
      <xdr:nvSpPr>
        <xdr:cNvPr id="8" name="Speech Bubble: Rectangle 7">
          <a:extLst>
            <a:ext uri="{FF2B5EF4-FFF2-40B4-BE49-F238E27FC236}">
              <a16:creationId xmlns:a16="http://schemas.microsoft.com/office/drawing/2014/main" id="{00000000-0008-0000-0700-000008000000}"/>
            </a:ext>
          </a:extLst>
        </xdr:cNvPr>
        <xdr:cNvSpPr/>
      </xdr:nvSpPr>
      <xdr:spPr>
        <a:xfrm>
          <a:off x="10793640" y="13637532"/>
          <a:ext cx="4331759" cy="967317"/>
        </a:xfrm>
        <a:prstGeom prst="wedgeRectCallout">
          <a:avLst/>
        </a:prstGeom>
        <a:solidFill>
          <a:schemeClr val="accent4">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US" sz="1100">
              <a:solidFill>
                <a:schemeClr val="bg2">
                  <a:lumMod val="25000"/>
                </a:schemeClr>
              </a:solidFill>
            </a:rPr>
            <a:t>This chart represents a comparison between legacy and cloud.</a:t>
          </a:r>
        </a:p>
        <a:p>
          <a:pPr algn="l"/>
          <a:r>
            <a:rPr lang="en-US" sz="1100">
              <a:solidFill>
                <a:schemeClr val="bg2">
                  <a:lumMod val="25000"/>
                </a:schemeClr>
              </a:solidFill>
            </a:rPr>
            <a:t>The blue line means the savings you have (total legacy-total cloud) per year.</a:t>
          </a:r>
        </a:p>
        <a:p>
          <a:pPr algn="l"/>
          <a:endParaRPr lang="en-US" sz="1100">
            <a:solidFill>
              <a:schemeClr val="bg2">
                <a:lumMod val="25000"/>
              </a:schemeClr>
            </a:solidFill>
          </a:endParaRPr>
        </a:p>
        <a:p>
          <a:pPr algn="l"/>
          <a:r>
            <a:rPr lang="en-US" sz="1100">
              <a:solidFill>
                <a:schemeClr val="bg2">
                  <a:lumMod val="25000"/>
                </a:schemeClr>
              </a:solidFill>
            </a:rPr>
            <a:t>Adjust chart labels if necessary before exporting a powerpoint</a:t>
          </a:r>
        </a:p>
        <a:p>
          <a:pPr algn="l"/>
          <a:endParaRPr lang="en-US" sz="1100">
            <a:solidFill>
              <a:schemeClr val="bg2">
                <a:lumMod val="25000"/>
              </a:schemeClr>
            </a:solidFill>
          </a:endParaRPr>
        </a:p>
        <a:p>
          <a:pPr algn="l"/>
          <a:endParaRPr lang="en-US" sz="1100">
            <a:solidFill>
              <a:schemeClr val="bg2">
                <a:lumMod val="25000"/>
              </a:schemeClr>
            </a:solidFill>
          </a:endParaRPr>
        </a:p>
      </xdr:txBody>
    </xdr:sp>
    <xdr:clientData/>
  </xdr:twoCellAnchor>
  <xdr:twoCellAnchor editAs="oneCell">
    <xdr:from>
      <xdr:col>1</xdr:col>
      <xdr:colOff>114300</xdr:colOff>
      <xdr:row>2</xdr:row>
      <xdr:rowOff>0</xdr:rowOff>
    </xdr:from>
    <xdr:to>
      <xdr:col>4</xdr:col>
      <xdr:colOff>200025</xdr:colOff>
      <xdr:row>4</xdr:row>
      <xdr:rowOff>47625</xdr:rowOff>
    </xdr:to>
    <xdr:pic>
      <xdr:nvPicPr>
        <xdr:cNvPr id="5" name="Picture 4">
          <a:extLst>
            <a:ext uri="{FF2B5EF4-FFF2-40B4-BE49-F238E27FC236}">
              <a16:creationId xmlns:a16="http://schemas.microsoft.com/office/drawing/2014/main" id="{25735943-4FEC-490A-85A0-5BEDEEECF1C8}"/>
            </a:ext>
            <a:ext uri="{147F2762-F138-4A5C-976F-8EAC2B608ADB}">
              <a16:predDERef xmlns:a16="http://schemas.microsoft.com/office/drawing/2014/main" pred="{00000000-0008-0000-0700-000008000000}"/>
            </a:ext>
          </a:extLst>
        </xdr:cNvPr>
        <xdr:cNvPicPr>
          <a:picLocks noChangeAspect="1"/>
        </xdr:cNvPicPr>
      </xdr:nvPicPr>
      <xdr:blipFill>
        <a:blip xmlns:r="http://schemas.openxmlformats.org/officeDocument/2006/relationships" r:embed="rId6"/>
        <a:stretch>
          <a:fillRect/>
        </a:stretch>
      </xdr:blipFill>
      <xdr:spPr>
        <a:xfrm>
          <a:off x="695325" y="381000"/>
          <a:ext cx="1828800" cy="638175"/>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0.29144</cdr:x>
      <cdr:y>0.15741</cdr:y>
    </cdr:from>
    <cdr:to>
      <cdr:x>0.56768</cdr:x>
      <cdr:y>0.23611</cdr:y>
    </cdr:to>
    <cdr:sp macro="" textlink="">
      <cdr:nvSpPr>
        <cdr:cNvPr id="2" name="TextBox 1">
          <a:extLst xmlns:a="http://schemas.openxmlformats.org/drawingml/2006/main">
            <a:ext uri="{FF2B5EF4-FFF2-40B4-BE49-F238E27FC236}">
              <a16:creationId xmlns:a16="http://schemas.microsoft.com/office/drawing/2014/main" id="{F6CCDA41-8599-4D29-824E-C778B1387B96}"/>
            </a:ext>
          </a:extLst>
        </cdr:cNvPr>
        <cdr:cNvSpPr txBox="1"/>
      </cdr:nvSpPr>
      <cdr:spPr>
        <a:xfrm xmlns:a="http://schemas.openxmlformats.org/drawingml/2006/main">
          <a:off x="1339850" y="431801"/>
          <a:ext cx="1270000" cy="215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CO" sz="1100"/>
        </a:p>
      </cdr:txBody>
    </cdr:sp>
  </cdr:relSizeAnchor>
  <cdr:relSizeAnchor xmlns:cdr="http://schemas.openxmlformats.org/drawingml/2006/chartDrawing">
    <cdr:from>
      <cdr:x>0.29548</cdr:x>
      <cdr:y>0.13927</cdr:y>
    </cdr:from>
    <cdr:to>
      <cdr:x>0.54962</cdr:x>
      <cdr:y>0.21797</cdr:y>
    </cdr:to>
    <cdr:sp macro="" textlink="">
      <cdr:nvSpPr>
        <cdr:cNvPr id="3" name="TextBox 2">
          <a:extLst xmlns:a="http://schemas.openxmlformats.org/drawingml/2006/main">
            <a:ext uri="{FF2B5EF4-FFF2-40B4-BE49-F238E27FC236}">
              <a16:creationId xmlns:a16="http://schemas.microsoft.com/office/drawing/2014/main" id="{6EE93AB8-E24A-4663-AAD9-1AD3AFB49422}"/>
            </a:ext>
          </a:extLst>
        </cdr:cNvPr>
        <cdr:cNvSpPr txBox="1"/>
      </cdr:nvSpPr>
      <cdr:spPr>
        <a:xfrm xmlns:a="http://schemas.openxmlformats.org/drawingml/2006/main">
          <a:off x="2826493" y="656893"/>
          <a:ext cx="2431058" cy="37119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1100" b="1">
              <a:solidFill>
                <a:schemeClr val="accent5"/>
              </a:solidFill>
            </a:rPr>
            <a:t>Cloud</a:t>
          </a:r>
          <a:r>
            <a:rPr lang="es-CO" sz="1100" b="1" baseline="0">
              <a:solidFill>
                <a:schemeClr val="accent5"/>
              </a:solidFill>
            </a:rPr>
            <a:t> cost 1st year</a:t>
          </a:r>
          <a:endParaRPr lang="es-CO" sz="1100" b="1">
            <a:solidFill>
              <a:schemeClr val="accent5"/>
            </a:solidFill>
          </a:endParaRPr>
        </a:p>
      </cdr:txBody>
    </cdr:sp>
  </cdr:relSizeAnchor>
  <cdr:relSizeAnchor xmlns:cdr="http://schemas.openxmlformats.org/drawingml/2006/chartDrawing">
    <cdr:from>
      <cdr:x>0.76207</cdr:x>
      <cdr:y>0.60731</cdr:y>
    </cdr:from>
    <cdr:to>
      <cdr:x>1</cdr:x>
      <cdr:y>0.86135</cdr:y>
    </cdr:to>
    <cdr:sp macro="" textlink="">
      <cdr:nvSpPr>
        <cdr:cNvPr id="4" name="TextBox 3">
          <a:extLst xmlns:a="http://schemas.openxmlformats.org/drawingml/2006/main">
            <a:ext uri="{FF2B5EF4-FFF2-40B4-BE49-F238E27FC236}">
              <a16:creationId xmlns:a16="http://schemas.microsoft.com/office/drawing/2014/main" id="{1C838946-AE96-4497-8F95-2980044EA4B6}"/>
            </a:ext>
          </a:extLst>
        </cdr:cNvPr>
        <cdr:cNvSpPr txBox="1"/>
      </cdr:nvSpPr>
      <cdr:spPr>
        <a:xfrm xmlns:a="http://schemas.openxmlformats.org/drawingml/2006/main">
          <a:off x="7289826" y="2864436"/>
          <a:ext cx="2275996" cy="11982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1200">
              <a:solidFill>
                <a:schemeClr val="accent2"/>
              </a:solidFill>
            </a:rPr>
            <a:t>Optimized</a:t>
          </a:r>
          <a:r>
            <a:rPr lang="es-CO" sz="1200" baseline="0">
              <a:solidFill>
                <a:schemeClr val="accent2"/>
              </a:solidFill>
            </a:rPr>
            <a:t> TCO Azure (Re-Architect) Migration P2 -  DevOps, Apps modernization and other Business Value</a:t>
          </a:r>
          <a:endParaRPr lang="es-CO" sz="1200">
            <a:solidFill>
              <a:schemeClr val="accent2"/>
            </a:solidFill>
          </a:endParaRPr>
        </a:p>
      </cdr:txBody>
    </cdr:sp>
  </cdr:relSizeAnchor>
  <cdr:relSizeAnchor xmlns:cdr="http://schemas.openxmlformats.org/drawingml/2006/chartDrawing">
    <cdr:from>
      <cdr:x>0.32629</cdr:x>
      <cdr:y>0.47468</cdr:y>
    </cdr:from>
    <cdr:to>
      <cdr:x>0.52791</cdr:x>
      <cdr:y>0.65541</cdr:y>
    </cdr:to>
    <cdr:sp macro="" textlink="">
      <cdr:nvSpPr>
        <cdr:cNvPr id="5" name="TextBox 4">
          <a:extLst xmlns:a="http://schemas.openxmlformats.org/drawingml/2006/main">
            <a:ext uri="{FF2B5EF4-FFF2-40B4-BE49-F238E27FC236}">
              <a16:creationId xmlns:a16="http://schemas.microsoft.com/office/drawing/2014/main" id="{D6ACBBC0-DFE6-427F-88F3-61AD8C6F616B}"/>
            </a:ext>
          </a:extLst>
        </cdr:cNvPr>
        <cdr:cNvSpPr txBox="1"/>
      </cdr:nvSpPr>
      <cdr:spPr>
        <a:xfrm xmlns:a="http://schemas.openxmlformats.org/drawingml/2006/main">
          <a:off x="1911351" y="1517650"/>
          <a:ext cx="1181100" cy="5778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1200">
              <a:solidFill>
                <a:schemeClr val="accent2"/>
              </a:solidFill>
              <a:effectLst/>
              <a:latin typeface="+mn-lt"/>
              <a:ea typeface="+mn-ea"/>
              <a:cs typeface="+mn-cs"/>
            </a:rPr>
            <a:t>Optimized</a:t>
          </a:r>
          <a:r>
            <a:rPr lang="es-CO" sz="1200" baseline="0">
              <a:solidFill>
                <a:schemeClr val="accent2"/>
              </a:solidFill>
              <a:effectLst/>
              <a:latin typeface="+mn-lt"/>
              <a:ea typeface="+mn-ea"/>
              <a:cs typeface="+mn-cs"/>
            </a:rPr>
            <a:t> </a:t>
          </a:r>
          <a:r>
            <a:rPr lang="es-CO" sz="1200">
              <a:solidFill>
                <a:schemeClr val="accent2"/>
              </a:solidFill>
              <a:effectLst/>
              <a:latin typeface="+mn-lt"/>
              <a:ea typeface="+mn-ea"/>
              <a:cs typeface="+mn-cs"/>
            </a:rPr>
            <a:t>TCO</a:t>
          </a:r>
          <a:r>
            <a:rPr lang="es-CO" sz="1200" baseline="0">
              <a:solidFill>
                <a:schemeClr val="accent2"/>
              </a:solidFill>
              <a:effectLst/>
              <a:latin typeface="+mn-lt"/>
              <a:ea typeface="+mn-ea"/>
              <a:cs typeface="+mn-cs"/>
            </a:rPr>
            <a:t> </a:t>
          </a:r>
          <a:r>
            <a:rPr lang="es-CO" sz="1200">
              <a:solidFill>
                <a:schemeClr val="accent2"/>
              </a:solidFill>
              <a:effectLst/>
              <a:latin typeface="+mn-lt"/>
              <a:ea typeface="+mn-ea"/>
              <a:cs typeface="+mn-cs"/>
            </a:rPr>
            <a:t>Azure</a:t>
          </a:r>
          <a:endParaRPr lang="es-CO" sz="1200">
            <a:solidFill>
              <a:schemeClr val="accent2"/>
            </a:solidFill>
            <a:effectLst/>
          </a:endParaRPr>
        </a:p>
        <a:p xmlns:a="http://schemas.openxmlformats.org/drawingml/2006/main">
          <a:r>
            <a:rPr lang="es-CO" sz="1200" baseline="0">
              <a:solidFill>
                <a:schemeClr val="accent2"/>
              </a:solidFill>
              <a:effectLst/>
              <a:latin typeface="+mn-lt"/>
              <a:ea typeface="+mn-ea"/>
              <a:cs typeface="+mn-cs"/>
            </a:rPr>
            <a:t>(</a:t>
          </a:r>
          <a:r>
            <a:rPr lang="es-CO" sz="1200">
              <a:solidFill>
                <a:schemeClr val="accent2"/>
              </a:solidFill>
              <a:effectLst/>
              <a:latin typeface="+mn-lt"/>
              <a:ea typeface="+mn-ea"/>
              <a:cs typeface="+mn-cs"/>
            </a:rPr>
            <a:t>re-host</a:t>
          </a:r>
          <a:r>
            <a:rPr lang="es-CO" sz="1200" baseline="0">
              <a:solidFill>
                <a:schemeClr val="accent2"/>
              </a:solidFill>
              <a:effectLst/>
              <a:latin typeface="+mn-lt"/>
              <a:ea typeface="+mn-ea"/>
              <a:cs typeface="+mn-cs"/>
            </a:rPr>
            <a:t>/</a:t>
          </a:r>
          <a:r>
            <a:rPr lang="es-CO" sz="1200">
              <a:solidFill>
                <a:schemeClr val="accent2"/>
              </a:solidFill>
              <a:effectLst/>
              <a:latin typeface="+mn-lt"/>
              <a:ea typeface="+mn-ea"/>
              <a:cs typeface="+mn-cs"/>
            </a:rPr>
            <a:t>replatform</a:t>
          </a:r>
          <a:r>
            <a:rPr lang="es-CO" sz="1200" baseline="0">
              <a:solidFill>
                <a:schemeClr val="accent2"/>
              </a:solidFill>
              <a:effectLst/>
              <a:latin typeface="+mn-lt"/>
              <a:ea typeface="+mn-ea"/>
              <a:cs typeface="+mn-cs"/>
            </a:rPr>
            <a:t>)</a:t>
          </a:r>
          <a:endParaRPr lang="es-CO" sz="1200">
            <a:solidFill>
              <a:schemeClr val="accent2"/>
            </a:solidFill>
            <a:effectLst/>
          </a:endParaRPr>
        </a:p>
        <a:p xmlns:a="http://schemas.openxmlformats.org/drawingml/2006/main">
          <a:endParaRPr lang="es-CO" sz="1100">
            <a:solidFill>
              <a:schemeClr val="accent2"/>
            </a:solidFill>
          </a:endParaRPr>
        </a:p>
      </cdr:txBody>
    </cdr:sp>
  </cdr:relSizeAnchor>
  <cdr:relSizeAnchor xmlns:cdr="http://schemas.openxmlformats.org/drawingml/2006/chartDrawing">
    <cdr:from>
      <cdr:x>0.81783</cdr:x>
      <cdr:y>0.18881</cdr:y>
    </cdr:from>
    <cdr:to>
      <cdr:x>0.99431</cdr:x>
      <cdr:y>0.28833</cdr:y>
    </cdr:to>
    <cdr:sp macro="" textlink="">
      <cdr:nvSpPr>
        <cdr:cNvPr id="6" name="TextBox 5">
          <a:extLst xmlns:a="http://schemas.openxmlformats.org/drawingml/2006/main">
            <a:ext uri="{FF2B5EF4-FFF2-40B4-BE49-F238E27FC236}">
              <a16:creationId xmlns:a16="http://schemas.microsoft.com/office/drawing/2014/main" id="{A6C9CF6F-1E88-48F5-A660-08BDA89D4F1F}"/>
            </a:ext>
          </a:extLst>
        </cdr:cNvPr>
        <cdr:cNvSpPr txBox="1"/>
      </cdr:nvSpPr>
      <cdr:spPr>
        <a:xfrm xmlns:a="http://schemas.openxmlformats.org/drawingml/2006/main">
          <a:off x="7823218" y="890523"/>
          <a:ext cx="1688176" cy="46939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s-CO" sz="1200">
              <a:solidFill>
                <a:schemeClr val="accent2"/>
              </a:solidFill>
            </a:rPr>
            <a:t>TCO/Keep</a:t>
          </a:r>
          <a:r>
            <a:rPr lang="es-CO" sz="1200" baseline="0">
              <a:solidFill>
                <a:schemeClr val="accent2"/>
              </a:solidFill>
            </a:rPr>
            <a:t> On Premise</a:t>
          </a:r>
          <a:endParaRPr lang="es-CO" sz="1200">
            <a:solidFill>
              <a:schemeClr val="accent2"/>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8</xdr:col>
      <xdr:colOff>49633</xdr:colOff>
      <xdr:row>23</xdr:row>
      <xdr:rowOff>179080</xdr:rowOff>
    </xdr:from>
    <xdr:to>
      <xdr:col>13</xdr:col>
      <xdr:colOff>1023646</xdr:colOff>
      <xdr:row>41</xdr:row>
      <xdr:rowOff>133349</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180975</xdr:colOff>
      <xdr:row>1</xdr:row>
      <xdr:rowOff>95250</xdr:rowOff>
    </xdr:from>
    <xdr:to>
      <xdr:col>2</xdr:col>
      <xdr:colOff>1752600</xdr:colOff>
      <xdr:row>4</xdr:row>
      <xdr:rowOff>9525</xdr:rowOff>
    </xdr:to>
    <xdr:pic>
      <xdr:nvPicPr>
        <xdr:cNvPr id="2" name="Picture 1">
          <a:extLst>
            <a:ext uri="{FF2B5EF4-FFF2-40B4-BE49-F238E27FC236}">
              <a16:creationId xmlns:a16="http://schemas.microsoft.com/office/drawing/2014/main" id="{04DAD6F9-DD69-4863-9F27-E15B2C3CF522}"/>
            </a:ext>
            <a:ext uri="{147F2762-F138-4A5C-976F-8EAC2B608ADB}">
              <a16:predDERef xmlns:a16="http://schemas.microsoft.com/office/drawing/2014/main" pred="{00000000-0008-0000-0800-000005000000}"/>
            </a:ext>
          </a:extLst>
        </xdr:cNvPr>
        <xdr:cNvPicPr>
          <a:picLocks noChangeAspect="1"/>
        </xdr:cNvPicPr>
      </xdr:nvPicPr>
      <xdr:blipFill>
        <a:blip xmlns:r="http://schemas.openxmlformats.org/officeDocument/2006/relationships" r:embed="rId2"/>
        <a:stretch>
          <a:fillRect/>
        </a:stretch>
      </xdr:blipFill>
      <xdr:spPr>
        <a:xfrm>
          <a:off x="657225" y="295275"/>
          <a:ext cx="1828800" cy="638175"/>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0.29144</cdr:x>
      <cdr:y>0.15741</cdr:y>
    </cdr:from>
    <cdr:to>
      <cdr:x>0.56768</cdr:x>
      <cdr:y>0.23611</cdr:y>
    </cdr:to>
    <cdr:sp macro="" textlink="">
      <cdr:nvSpPr>
        <cdr:cNvPr id="2" name="TextBox 1">
          <a:extLst xmlns:a="http://schemas.openxmlformats.org/drawingml/2006/main">
            <a:ext uri="{FF2B5EF4-FFF2-40B4-BE49-F238E27FC236}">
              <a16:creationId xmlns:a16="http://schemas.microsoft.com/office/drawing/2014/main" id="{F6CCDA41-8599-4D29-824E-C778B1387B96}"/>
            </a:ext>
          </a:extLst>
        </cdr:cNvPr>
        <cdr:cNvSpPr txBox="1"/>
      </cdr:nvSpPr>
      <cdr:spPr>
        <a:xfrm xmlns:a="http://schemas.openxmlformats.org/drawingml/2006/main">
          <a:off x="1339850" y="431801"/>
          <a:ext cx="1270000" cy="215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s-CO" sz="1100"/>
        </a:p>
      </cdr:txBody>
    </cdr:sp>
  </cdr:relSizeAnchor>
  <cdr:relSizeAnchor xmlns:cdr="http://schemas.openxmlformats.org/drawingml/2006/chartDrawing">
    <cdr:from>
      <cdr:x>0.29453</cdr:x>
      <cdr:y>0.15025</cdr:y>
    </cdr:from>
    <cdr:to>
      <cdr:x>0.54867</cdr:x>
      <cdr:y>0.22895</cdr:y>
    </cdr:to>
    <cdr:sp macro="" textlink="">
      <cdr:nvSpPr>
        <cdr:cNvPr id="3" name="TextBox 2">
          <a:extLst xmlns:a="http://schemas.openxmlformats.org/drawingml/2006/main">
            <a:ext uri="{FF2B5EF4-FFF2-40B4-BE49-F238E27FC236}">
              <a16:creationId xmlns:a16="http://schemas.microsoft.com/office/drawing/2014/main" id="{6EE93AB8-E24A-4663-AAD9-1AD3AFB49422}"/>
            </a:ext>
          </a:extLst>
        </cdr:cNvPr>
        <cdr:cNvSpPr txBox="1"/>
      </cdr:nvSpPr>
      <cdr:spPr>
        <a:xfrm xmlns:a="http://schemas.openxmlformats.org/drawingml/2006/main">
          <a:off x="2187032" y="618063"/>
          <a:ext cx="1887145" cy="3237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900" b="1">
              <a:solidFill>
                <a:schemeClr val="accent1"/>
              </a:solidFill>
            </a:rPr>
            <a:t>Total</a:t>
          </a:r>
          <a:r>
            <a:rPr lang="es-CO" sz="900" b="1" baseline="0">
              <a:solidFill>
                <a:schemeClr val="accent1"/>
              </a:solidFill>
            </a:rPr>
            <a:t> cloud cost 1st year</a:t>
          </a:r>
          <a:endParaRPr lang="es-CO" sz="900" b="1">
            <a:solidFill>
              <a:schemeClr val="accent1"/>
            </a:solidFill>
          </a:endParaRPr>
        </a:p>
      </cdr:txBody>
    </cdr:sp>
  </cdr:relSizeAnchor>
  <cdr:relSizeAnchor xmlns:cdr="http://schemas.openxmlformats.org/drawingml/2006/chartDrawing">
    <cdr:from>
      <cdr:x>0.71162</cdr:x>
      <cdr:y>0.62576</cdr:y>
    </cdr:from>
    <cdr:to>
      <cdr:x>0.94955</cdr:x>
      <cdr:y>0.8798</cdr:y>
    </cdr:to>
    <cdr:sp macro="" textlink="">
      <cdr:nvSpPr>
        <cdr:cNvPr id="4" name="TextBox 3">
          <a:extLst xmlns:a="http://schemas.openxmlformats.org/drawingml/2006/main">
            <a:ext uri="{FF2B5EF4-FFF2-40B4-BE49-F238E27FC236}">
              <a16:creationId xmlns:a16="http://schemas.microsoft.com/office/drawing/2014/main" id="{1C838946-AE96-4497-8F95-2980044EA4B6}"/>
            </a:ext>
          </a:extLst>
        </cdr:cNvPr>
        <cdr:cNvSpPr txBox="1"/>
      </cdr:nvSpPr>
      <cdr:spPr>
        <a:xfrm xmlns:a="http://schemas.openxmlformats.org/drawingml/2006/main">
          <a:off x="5284187" y="2574084"/>
          <a:ext cx="1766776" cy="104499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900">
              <a:solidFill>
                <a:schemeClr val="accent2"/>
              </a:solidFill>
            </a:rPr>
            <a:t>Optimized</a:t>
          </a:r>
          <a:r>
            <a:rPr lang="es-CO" sz="900" baseline="0">
              <a:solidFill>
                <a:schemeClr val="accent2"/>
              </a:solidFill>
            </a:rPr>
            <a:t> TCO Azure (Re-Architect) Migration P2 -  DevOps, Apps modernization and other Business Value</a:t>
          </a:r>
          <a:endParaRPr lang="es-CO" sz="900">
            <a:solidFill>
              <a:schemeClr val="accent2"/>
            </a:solidFill>
          </a:endParaRPr>
        </a:p>
      </cdr:txBody>
    </cdr:sp>
  </cdr:relSizeAnchor>
  <cdr:relSizeAnchor xmlns:cdr="http://schemas.openxmlformats.org/drawingml/2006/chartDrawing">
    <cdr:from>
      <cdr:x>0.34339</cdr:x>
      <cdr:y>0.51594</cdr:y>
    </cdr:from>
    <cdr:to>
      <cdr:x>0.54501</cdr:x>
      <cdr:y>0.69667</cdr:y>
    </cdr:to>
    <cdr:sp macro="" textlink="">
      <cdr:nvSpPr>
        <cdr:cNvPr id="5" name="TextBox 4">
          <a:extLst xmlns:a="http://schemas.openxmlformats.org/drawingml/2006/main">
            <a:ext uri="{FF2B5EF4-FFF2-40B4-BE49-F238E27FC236}">
              <a16:creationId xmlns:a16="http://schemas.microsoft.com/office/drawing/2014/main" id="{D6ACBBC0-DFE6-427F-88F3-61AD8C6F616B}"/>
            </a:ext>
          </a:extLst>
        </cdr:cNvPr>
        <cdr:cNvSpPr txBox="1"/>
      </cdr:nvSpPr>
      <cdr:spPr>
        <a:xfrm xmlns:a="http://schemas.openxmlformats.org/drawingml/2006/main">
          <a:off x="2549903" y="2064372"/>
          <a:ext cx="1497152" cy="72313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s-CO" sz="900">
              <a:solidFill>
                <a:schemeClr val="accent2"/>
              </a:solidFill>
              <a:effectLst/>
              <a:latin typeface="+mn-lt"/>
              <a:ea typeface="+mn-ea"/>
              <a:cs typeface="+mn-cs"/>
            </a:rPr>
            <a:t>Optimized</a:t>
          </a:r>
          <a:r>
            <a:rPr lang="es-CO" sz="900" baseline="0">
              <a:solidFill>
                <a:schemeClr val="accent2"/>
              </a:solidFill>
              <a:effectLst/>
              <a:latin typeface="+mn-lt"/>
              <a:ea typeface="+mn-ea"/>
              <a:cs typeface="+mn-cs"/>
            </a:rPr>
            <a:t> </a:t>
          </a:r>
          <a:r>
            <a:rPr lang="es-CO" sz="900">
              <a:solidFill>
                <a:schemeClr val="accent2"/>
              </a:solidFill>
              <a:effectLst/>
              <a:latin typeface="+mn-lt"/>
              <a:ea typeface="+mn-ea"/>
              <a:cs typeface="+mn-cs"/>
            </a:rPr>
            <a:t>TCO</a:t>
          </a:r>
          <a:r>
            <a:rPr lang="es-CO" sz="900" baseline="0">
              <a:solidFill>
                <a:schemeClr val="accent2"/>
              </a:solidFill>
              <a:effectLst/>
              <a:latin typeface="+mn-lt"/>
              <a:ea typeface="+mn-ea"/>
              <a:cs typeface="+mn-cs"/>
            </a:rPr>
            <a:t> </a:t>
          </a:r>
          <a:r>
            <a:rPr lang="es-CO" sz="900">
              <a:solidFill>
                <a:schemeClr val="accent2"/>
              </a:solidFill>
              <a:effectLst/>
              <a:latin typeface="+mn-lt"/>
              <a:ea typeface="+mn-ea"/>
              <a:cs typeface="+mn-cs"/>
            </a:rPr>
            <a:t>Azure</a:t>
          </a:r>
          <a:endParaRPr lang="es-CO" sz="900">
            <a:solidFill>
              <a:schemeClr val="accent2"/>
            </a:solidFill>
            <a:effectLst/>
          </a:endParaRPr>
        </a:p>
        <a:p xmlns:a="http://schemas.openxmlformats.org/drawingml/2006/main">
          <a:r>
            <a:rPr lang="es-CO" sz="900" baseline="0">
              <a:solidFill>
                <a:schemeClr val="accent2"/>
              </a:solidFill>
              <a:effectLst/>
              <a:latin typeface="+mn-lt"/>
              <a:ea typeface="+mn-ea"/>
              <a:cs typeface="+mn-cs"/>
            </a:rPr>
            <a:t>(</a:t>
          </a:r>
          <a:r>
            <a:rPr lang="es-CO" sz="900">
              <a:solidFill>
                <a:schemeClr val="accent2"/>
              </a:solidFill>
              <a:effectLst/>
              <a:latin typeface="+mn-lt"/>
              <a:ea typeface="+mn-ea"/>
              <a:cs typeface="+mn-cs"/>
            </a:rPr>
            <a:t>re-host</a:t>
          </a:r>
          <a:r>
            <a:rPr lang="es-CO" sz="900" baseline="0">
              <a:solidFill>
                <a:schemeClr val="accent2"/>
              </a:solidFill>
              <a:effectLst/>
              <a:latin typeface="+mn-lt"/>
              <a:ea typeface="+mn-ea"/>
              <a:cs typeface="+mn-cs"/>
            </a:rPr>
            <a:t>/</a:t>
          </a:r>
          <a:r>
            <a:rPr lang="es-CO" sz="900">
              <a:solidFill>
                <a:schemeClr val="accent2"/>
              </a:solidFill>
              <a:effectLst/>
              <a:latin typeface="+mn-lt"/>
              <a:ea typeface="+mn-ea"/>
              <a:cs typeface="+mn-cs"/>
            </a:rPr>
            <a:t>replatform</a:t>
          </a:r>
          <a:r>
            <a:rPr lang="es-CO" sz="900" baseline="0">
              <a:solidFill>
                <a:schemeClr val="accent2"/>
              </a:solidFill>
              <a:effectLst/>
              <a:latin typeface="+mn-lt"/>
              <a:ea typeface="+mn-ea"/>
              <a:cs typeface="+mn-cs"/>
            </a:rPr>
            <a:t>)</a:t>
          </a:r>
          <a:endParaRPr lang="es-CO" sz="900">
            <a:solidFill>
              <a:schemeClr val="accent2"/>
            </a:solidFill>
            <a:effectLst/>
          </a:endParaRPr>
        </a:p>
        <a:p xmlns:a="http://schemas.openxmlformats.org/drawingml/2006/main">
          <a:endParaRPr lang="es-CO" sz="1100">
            <a:solidFill>
              <a:schemeClr val="accent2"/>
            </a:solidFill>
          </a:endParaRPr>
        </a:p>
      </cdr:txBody>
    </cdr:sp>
  </cdr:relSizeAnchor>
  <cdr:relSizeAnchor xmlns:cdr="http://schemas.openxmlformats.org/drawingml/2006/chartDrawing">
    <cdr:from>
      <cdr:x>0.82352</cdr:x>
      <cdr:y>0.18959</cdr:y>
    </cdr:from>
    <cdr:to>
      <cdr:x>1</cdr:x>
      <cdr:y>0.28911</cdr:y>
    </cdr:to>
    <cdr:sp macro="" textlink="">
      <cdr:nvSpPr>
        <cdr:cNvPr id="6" name="TextBox 5">
          <a:extLst xmlns:a="http://schemas.openxmlformats.org/drawingml/2006/main">
            <a:ext uri="{FF2B5EF4-FFF2-40B4-BE49-F238E27FC236}">
              <a16:creationId xmlns:a16="http://schemas.microsoft.com/office/drawing/2014/main" id="{A6C9CF6F-1E88-48F5-A660-08BDA89D4F1F}"/>
            </a:ext>
          </a:extLst>
        </cdr:cNvPr>
        <cdr:cNvSpPr txBox="1"/>
      </cdr:nvSpPr>
      <cdr:spPr>
        <a:xfrm xmlns:a="http://schemas.openxmlformats.org/drawingml/2006/main">
          <a:off x="6115141" y="758561"/>
          <a:ext cx="1310472" cy="39819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s-CO" sz="900">
              <a:solidFill>
                <a:schemeClr val="accent2"/>
              </a:solidFill>
            </a:rPr>
            <a:t>TCO/Keep</a:t>
          </a:r>
          <a:r>
            <a:rPr lang="es-CO" sz="900" baseline="0">
              <a:solidFill>
                <a:schemeClr val="accent2"/>
              </a:solidFill>
            </a:rPr>
            <a:t> On Premise</a:t>
          </a:r>
          <a:endParaRPr lang="es-CO" sz="900">
            <a:solidFill>
              <a:schemeClr val="accent2"/>
            </a:solidFill>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1</xdr:col>
      <xdr:colOff>279400</xdr:colOff>
      <xdr:row>12</xdr:row>
      <xdr:rowOff>177800</xdr:rowOff>
    </xdr:from>
    <xdr:to>
      <xdr:col>3</xdr:col>
      <xdr:colOff>1104900</xdr:colOff>
      <xdr:row>14</xdr:row>
      <xdr:rowOff>114300</xdr:rowOff>
    </xdr:to>
    <xdr:sp macro="[0]!CopyValuestToOtherSheet" textlink="">
      <xdr:nvSpPr>
        <xdr:cNvPr id="4" name="Rectangle: Rounded Corners 3">
          <a:extLst>
            <a:ext uri="{FF2B5EF4-FFF2-40B4-BE49-F238E27FC236}">
              <a16:creationId xmlns:a16="http://schemas.microsoft.com/office/drawing/2014/main" id="{00000000-0008-0000-0900-000004000000}"/>
            </a:ext>
          </a:extLst>
        </xdr:cNvPr>
        <xdr:cNvSpPr/>
      </xdr:nvSpPr>
      <xdr:spPr>
        <a:xfrm>
          <a:off x="584200" y="3016250"/>
          <a:ext cx="2089150" cy="304800"/>
        </a:xfrm>
        <a:prstGeom prst="round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100"/>
            <a:t>Preparate data </a:t>
          </a:r>
          <a:r>
            <a:rPr lang="es-CO" sz="1100" baseline="0"/>
            <a:t>to consolidated </a:t>
          </a:r>
          <a:endParaRPr lang="es-CO" sz="1100"/>
        </a:p>
      </xdr:txBody>
    </xdr:sp>
    <xdr:clientData/>
  </xdr:twoCellAnchor>
  <xdr:twoCellAnchor editAs="oneCell">
    <xdr:from>
      <xdr:col>2</xdr:col>
      <xdr:colOff>0</xdr:colOff>
      <xdr:row>1</xdr:row>
      <xdr:rowOff>152400</xdr:rowOff>
    </xdr:from>
    <xdr:to>
      <xdr:col>3</xdr:col>
      <xdr:colOff>904875</xdr:colOff>
      <xdr:row>4</xdr:row>
      <xdr:rowOff>114300</xdr:rowOff>
    </xdr:to>
    <xdr:pic>
      <xdr:nvPicPr>
        <xdr:cNvPr id="3" name="Picture 2">
          <a:extLst>
            <a:ext uri="{FF2B5EF4-FFF2-40B4-BE49-F238E27FC236}">
              <a16:creationId xmlns:a16="http://schemas.microsoft.com/office/drawing/2014/main" id="{AF6E50BE-50CC-48AC-A36F-73C23E7CA0F1}"/>
            </a:ext>
            <a:ext uri="{147F2762-F138-4A5C-976F-8EAC2B608ADB}">
              <a16:predDERef xmlns:a16="http://schemas.microsoft.com/office/drawing/2014/main" pred="{00000000-0008-0000-0900-000004000000}"/>
            </a:ext>
          </a:extLst>
        </xdr:cNvPr>
        <xdr:cNvPicPr>
          <a:picLocks noChangeAspect="1"/>
        </xdr:cNvPicPr>
      </xdr:nvPicPr>
      <xdr:blipFill>
        <a:blip xmlns:r="http://schemas.openxmlformats.org/officeDocument/2006/relationships" r:embed="rId1"/>
        <a:stretch>
          <a:fillRect/>
        </a:stretch>
      </xdr:blipFill>
      <xdr:spPr>
        <a:xfrm>
          <a:off x="571500" y="342900"/>
          <a:ext cx="1828800" cy="63817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63D18BC-2257-4CBB-B7B5-CF0A1DDB5D1C}" name="Table_It_Salary_Cost" displayName="Table_It_Salary_Cost" ref="C52:E58" totalsRowShown="0" headerRowDxfId="116">
  <autoFilter ref="C52:E58" xr:uid="{7229F515-9822-4262-ABF4-D4B20AF848B8}"/>
  <tableColumns count="3">
    <tableColumn id="1" xr3:uid="{E199FAD9-E0D9-4605-A33C-EEF30D57EEA4}" name="IT salary " dataDxfId="115"/>
    <tableColumn id="2" xr3:uid="{70E500C2-3095-46A4-8B5D-5E3A0279BB98}" name="Formula" dataDxfId="114"/>
    <tableColumn id="3" xr3:uid="{476BE944-2E74-40D9-9144-6C2AF3D394FF}" name="Annual costs [$]" dataDxfId="113"/>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2D3FFE6-3338-459B-9AAB-029610EDDE5E}" name="Table_Business_Costs" displayName="Table_Business_Costs" ref="C93:E105" totalsRowShown="0" headerRowDxfId="112">
  <autoFilter ref="C93:E105" xr:uid="{3A41997F-DD68-4FCF-B5BD-507DE5A4FDA9}"/>
  <tableColumns count="3">
    <tableColumn id="1" xr3:uid="{2026BB1A-1A1F-44CF-8E8B-E54F94A4471A}" name="Slow &amp; Shut down application costs" dataDxfId="111"/>
    <tableColumn id="2" xr3:uid="{25193192-25B6-4E92-96BD-424120E38541}" name="Formula" dataDxfId="110"/>
    <tableColumn id="3" xr3:uid="{EC606555-754D-4448-A194-E70D265A0A14}" name="Monthly Costs [$]"/>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53E04F5-3D1B-4D67-A563-89EB4098A24F}" name="Table_Summary_Legacy_Costs" displayName="Table_Summary_Legacy_Costs" ref="C110:G121" totalsRowShown="0" headerRowDxfId="109" tableBorderDxfId="108">
  <autoFilter ref="C110:G121" xr:uid="{2FD86A71-057E-4FB2-AD59-4960F790189C}"/>
  <tableColumns count="5">
    <tableColumn id="1" xr3:uid="{ECAB0B26-401A-4F68-A33C-16EBAE2D0F88}" name="Costs\Years" dataDxfId="107"/>
    <tableColumn id="2" xr3:uid="{4BC91397-435D-4CB4-848C-EC42A32E4367}" name="Formula" dataDxfId="106"/>
    <tableColumn id="3" xr3:uid="{7E374B00-E7BE-42D9-A79B-4050BCF86613}" name="1 [$]" dataDxfId="105"/>
    <tableColumn id="4" xr3:uid="{90FC87A2-736E-48AD-AC93-95C560771B8C}" name="2 [$]" dataDxfId="104"/>
    <tableColumn id="5" xr3:uid="{66BCD9FF-F3A7-4038-8227-5E0CA8AE7E3C}" name="3 [$]" dataDxfId="10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88D6B70-1F40-4DD5-BB1F-CE621472A5EE}" name="Table_Saving_Earning_ROI_by_years" displayName="Table_Saving_Earning_ROI_by_years" ref="C143:G146" totalsRowShown="0">
  <autoFilter ref="C143:G146" xr:uid="{9433DB65-04EC-4BB3-9F50-3E9954D79302}"/>
  <tableColumns count="5">
    <tableColumn id="1" xr3:uid="{4D1BF73A-2A38-441B-861E-24381E1DD967}" name="  Savings\Years" dataDxfId="102"/>
    <tableColumn id="2" xr3:uid="{D5F47E2A-1BA5-4F6C-92CF-01CFCBC0B5F1}" name="Formula" dataDxfId="101"/>
    <tableColumn id="3" xr3:uid="{699B1D1A-4438-48A0-B2FB-4D16C77154CB}" name="1" dataDxfId="100">
      <calculatedColumnFormula>(#REF!-#REF!)/#REF!</calculatedColumnFormula>
    </tableColumn>
    <tableColumn id="4" xr3:uid="{B5349E50-424B-427E-992B-12CA1D32D0CA}" name="2" dataDxfId="99">
      <calculatedColumnFormula>(#REF!-#REF!)/#REF!</calculatedColumnFormula>
    </tableColumn>
    <tableColumn id="5" xr3:uid="{03A58A4D-D3AC-44DA-B4CE-9E882396C101}" name="3" dataDxfId="98">
      <calculatedColumnFormula>(#REF!-#REF!)/#REF!</calculatedColumnFormula>
    </tableColumn>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233690A-FEA9-4ACD-9967-A7C2A4936AC5}" name="Table_Summary_Cloud_Costs" displayName="Table_Summary_Cloud_Costs" ref="C126:G137" totalsRowShown="0" headerRowDxfId="97" dataDxfId="96" tableBorderDxfId="95" totalsRowBorderDxfId="94">
  <autoFilter ref="C126:G137" xr:uid="{8F29705E-F0F9-4F00-985D-0A65CCDC7FDF}"/>
  <tableColumns count="5">
    <tableColumn id="1" xr3:uid="{44D5D3BD-F440-4232-972F-53E918C9D416}" name="Costs\Years" dataDxfId="92" totalsRowDxfId="93"/>
    <tableColumn id="2" xr3:uid="{1A224FA6-08A3-4A77-A573-A18933341F09}" name="Formula" dataDxfId="90" totalsRowDxfId="91"/>
    <tableColumn id="3" xr3:uid="{901EDC1B-D0D9-42A0-A92A-48417360AB99}" name="1 [$]" dataDxfId="88" totalsRowDxfId="89"/>
    <tableColumn id="4" xr3:uid="{481A49B7-A4B1-4E81-B8E7-AE7A493F505D}" name="2 [$]" dataDxfId="86" totalsRowDxfId="87"/>
    <tableColumn id="5" xr3:uid="{B25694DB-450F-45AC-B4FA-3AB0CBD3D4A3}" name="3 [$]" dataDxfId="84" totalsRowDxfId="85"/>
  </tableColumns>
  <tableStyleInfo name="TableStyleLight1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2FBB094-20A6-4AF8-8141-E0956CDD7991}" name="Table_Licensing_Costs" displayName="Table_Licensing_Costs" ref="C78:G84" totalsRowShown="0" headerRowDxfId="83">
  <autoFilter ref="C78:G84" xr:uid="{A4CE3F2A-B882-4BB1-8F7D-F14F53B0FE47}"/>
  <tableColumns count="5">
    <tableColumn id="1" xr3:uid="{2BFFB374-6395-4C1E-A2D9-93D4C175D357}" name="Licensing " dataDxfId="82"/>
    <tableColumn id="2" xr3:uid="{4AD1C006-8343-406F-8BFE-E06ADA96B0FD}" name="Formula" dataDxfId="81"/>
    <tableColumn id="3" xr3:uid="{9D35E562-4859-4DED-9A19-48969CFC16A2}" name="Annual costs [$]" dataDxfId="80">
      <calculatedColumnFormula>Operational_Cost!E80</calculatedColumnFormula>
    </tableColumn>
    <tableColumn id="4" xr3:uid="{BA5546A6-687B-42CB-9E18-A10F96B6EABF}" name="2nd year" dataDxfId="79"/>
    <tableColumn id="5" xr3:uid="{3FA4B9B4-73D3-45EE-BE8B-631A62EDAAE6}" name="3rd year" dataDxfId="78"/>
  </tableColumns>
  <tableStyleInfo name="TableStyleLight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A9B65D6-ACAE-4514-8FB5-264103E7C6CF}" name="Table_Infrastructure_Cost" displayName="Table_Infrastructure_Cost" ref="C64:E72" totalsRowShown="0" headerRowDxfId="77">
  <autoFilter ref="C64:E72" xr:uid="{962D733F-C9BF-4186-B36D-481C956A53DB}"/>
  <tableColumns count="3">
    <tableColumn id="1" xr3:uid="{20A080E1-3C6F-4584-ACDC-E73ABE7C7896}" name="Infrastructure" dataDxfId="76"/>
    <tableColumn id="2" xr3:uid="{8795A5A6-2895-4CF1-BABF-A189544A2804}" name="Formula" dataDxfId="75"/>
    <tableColumn id="3" xr3:uid="{4543216A-6F49-4C97-A0FF-346D5D05CC72}" name="Annual costs [$]" dataDxfId="74">
      <calculatedColumnFormula>Operational_Cost!E47</calculatedColumnFormula>
    </tableColumn>
  </tableColumns>
  <tableStyleInfo name="TableStyleLight1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9AF749C-952E-4D4E-9134-0AF9361B5884}" name="Table_Saving_Costs" displayName="Table_Saving_Costs" ref="C150:G169" totalsRowShown="0" headerRowDxfId="73" tableBorderDxfId="72">
  <autoFilter ref="C150:G169" xr:uid="{FCCD0F04-A56C-4A5D-9408-EF1A5436C81A}"/>
  <tableColumns count="5">
    <tableColumn id="1" xr3:uid="{6FEA4667-FC9E-4603-B4C7-A0FE0A1E3167}" name="Saving Costs\Years"/>
    <tableColumn id="2" xr3:uid="{277BFC3F-5C6D-48BA-9680-0C7BD6A9AC02}" name="Formula" dataDxfId="71"/>
    <tableColumn id="3" xr3:uid="{F9B53491-5313-4C9D-B900-BEACF49A040C}" name="1" dataDxfId="70"/>
    <tableColumn id="4" xr3:uid="{EF78BF87-F40C-437F-83C4-205B8C81CFFB}" name="2" dataDxfId="69"/>
    <tableColumn id="5" xr3:uid="{97C3C795-A6D8-4ADD-84F3-9E416A3D3EEA}" name="3" dataDxfId="68"/>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4E04AE2-DA71-444B-AF43-4870AB406BBD}" name="Table_productivity_summary" displayName="Table_productivity_summary" ref="C11:F17" totalsRowShown="0">
  <autoFilter ref="C11:F17" xr:uid="{770AADB5-A4A5-4FF0-8284-B7DD2CDB7166}"/>
  <tableColumns count="4">
    <tableColumn id="1" xr3:uid="{28E2721F-89D0-4106-AD59-A7B9C296D43A}" name="Item" dataDxfId="67"/>
    <tableColumn id="2" xr3:uid="{5FD5E511-A691-4639-A62A-8E4FC2286121}" name="Formula" dataDxfId="66"/>
    <tableColumn id="3" xr3:uid="{DCCDCCDE-50ED-4D88-90B8-5F9AD6A0CBA8}" name="Legacy" dataDxfId="65"/>
    <tableColumn id="4" xr3:uid="{8B8B8D62-968A-47CE-8763-ED01EC365154}" name="Cloud" dataDxfId="64"/>
  </tableColumns>
  <tableStyleInfo name="TableStyleLight1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00DEEB0-3404-408C-8FB4-91CBC5022D3B}" name="Table_Productivity" displayName="Table_Productivity" ref="C21:I27" totalsRowShown="0" dataDxfId="63" tableBorderDxfId="62">
  <autoFilter ref="C21:I27" xr:uid="{8C575DA8-03DB-4843-81FD-48E3101E2EA0}"/>
  <tableColumns count="7">
    <tableColumn id="1" xr3:uid="{6A52690D-CDAB-4F45-9EC0-F653D51B3C39}" name="Item\Years"/>
    <tableColumn id="2" xr3:uid="{06999E6D-660C-499E-9C97-33E9D5F31744}" name="Formula" dataDxfId="61"/>
    <tableColumn id="3" xr3:uid="{27708FAF-C074-4804-8281-D2A21F636060}" name="1" dataDxfId="60">
      <calculatedColumnFormula>E16*5000*E21</calculatedColumnFormula>
    </tableColumn>
    <tableColumn id="4" xr3:uid="{57612CFC-A55A-47F7-982A-0A2BE1080CE8}" name="2" dataDxfId="59">
      <calculatedColumnFormula>Table_Productivity[[#This Row],[1]]*(1+rate_of_inflation)</calculatedColumnFormula>
    </tableColumn>
    <tableColumn id="5" xr3:uid="{D3C505A4-8CD2-4C42-90A6-16F21AA304BE}" name="3" dataDxfId="58"/>
    <tableColumn id="7" xr3:uid="{AD2CAEBE-1671-4CE0-B340-37E6186863D2}" name="[%]" dataDxfId="57">
      <calculatedColumnFormula>Table_Productivity[[#This Row],[1]]/E26</calculatedColumnFormula>
    </tableColumn>
    <tableColumn id="8" xr3:uid="{6DF4C470-DCF8-4A71-8815-2AC7F9B0591F}" name="Increased productivity [%]" dataDxfId="56">
      <calculatedColumnFormula>E25*Table_Productivity[[#This Row],['[%']]]</calculatedColumnFormula>
    </tableColumn>
  </tableColumns>
  <tableStyleInfo name="TableStyleLight1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8F83EB-26C2-49CE-9D33-0F4915360E84}" name="Table_To_Graph_Cost_n_Year" displayName="Table_To_Graph_Cost_n_Year" ref="C12:G18" totalsRowShown="0" headerRowDxfId="55" tableBorderDxfId="54">
  <autoFilter ref="C12:G18" xr:uid="{E5AFD7A2-4AE4-42F9-AF2F-52F5F6980062}"/>
  <tableColumns count="5">
    <tableColumn id="1" xr3:uid="{6870B9F1-DBEF-41B5-9472-79C7283D1AC9}" name="Costs (USD)\Year" dataDxfId="53"/>
    <tableColumn id="2" xr3:uid="{FAF5B015-A795-4C04-9CEF-931F764099D1}" name="Formula" dataDxfId="52"/>
    <tableColumn id="3" xr3:uid="{81852507-D1D2-40D7-9048-649D1AC5A265}" name="1 [$]" dataDxfId="51">
      <calculatedColumnFormula>SUM(E11:E12)</calculatedColumnFormula>
    </tableColumn>
    <tableColumn id="4" xr3:uid="{AE1A91D6-E135-4640-BE6F-DE006723C18D}" name="2  [$]" dataDxfId="50">
      <calculatedColumnFormula>Table_To_Graph_Cost_n_Year[[#This Row],[1 '[$']]]*(1+$E$12)</calculatedColumnFormula>
    </tableColumn>
    <tableColumn id="5" xr3:uid="{C4506D04-F011-4D54-8D9C-800FFC651EBE}" name="3  [$]"/>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BDE7055-5797-471C-A8C0-53BE6889F971}" name="Table_To_Graph_Costs_by_Years" displayName="Table_To_Graph_Costs_by_Years" ref="C22:G25" totalsRowShown="0" headerRowDxfId="49" tableBorderDxfId="48">
  <autoFilter ref="C22:G25" xr:uid="{E36DA017-B9EB-4E9E-A2E1-FB1B142BA03A}"/>
  <tableColumns count="5">
    <tableColumn id="1" xr3:uid="{C604A25C-114A-4A64-A205-0BD6241444D3}" name="Costs (USD)\Year" dataDxfId="47"/>
    <tableColumn id="2" xr3:uid="{59D999F5-BDB3-4359-8E84-94D600E840C4}" name="Formula" dataDxfId="46"/>
    <tableColumn id="3" xr3:uid="{6400FC80-847D-4810-9F57-27B1713266A5}" name="1  [$]" dataDxfId="45">
      <calculatedColumnFormula>SUM(E21:E22)</calculatedColumnFormula>
    </tableColumn>
    <tableColumn id="4" xr3:uid="{C2A162BE-B508-4E49-8BB2-141E22244815}" name="2  [$]" dataDxfId="44">
      <calculatedColumnFormula>business_cloud_cost_2_year</calculatedColumnFormula>
    </tableColumn>
    <tableColumn id="5" xr3:uid="{8AC83B3D-EFCA-4ED9-8D6C-BD22093ADFC6}" name="3  [$]"/>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636384B-7359-4D94-87E1-36EA1546B583}" name="Table_To_Graph_TCO_by_Years" displayName="Table_To_Graph_TCO_by_Years" ref="C38:H40" totalsRowShown="0" headerRowDxfId="43" dataDxfId="42" tableBorderDxfId="41">
  <autoFilter ref="C38:H40" xr:uid="{16DCB73A-C994-48E6-AC23-73BEE6F7FB31}"/>
  <tableColumns count="6">
    <tableColumn id="1" xr3:uid="{28DD8713-B375-43CB-B8B5-5B625AF70077}" name="Costs\Years" dataDxfId="40"/>
    <tableColumn id="2" xr3:uid="{402CEDF4-1634-4C52-A963-1E75BD796E3D}" name="Formula" dataDxfId="39"/>
    <tableColumn id="3" xr3:uid="{66391810-4341-49A0-87B6-A9A3126DBEC2}" name="0" dataDxfId="38">
      <calculatedColumnFormula>initial_investment</calculatedColumnFormula>
    </tableColumn>
    <tableColumn id="4" xr3:uid="{94CBD9BD-63BF-46E3-9564-80B9F0BB0E12}" name="1  [$]" dataDxfId="37">
      <calculatedColumnFormula>Analysis!#REF!</calculatedColumnFormula>
    </tableColumn>
    <tableColumn id="5" xr3:uid="{152B0203-4725-4707-8254-92559F3E5022}" name="2  [$]" dataDxfId="36">
      <calculatedColumnFormula>Analysis!F121-Analysis!F137</calculatedColumnFormula>
    </tableColumn>
    <tableColumn id="6" xr3:uid="{59F29273-8F7D-4DB7-B468-91500D31B196}" name="3  [$]" dataDxfId="35">
      <calculatedColumnFormula>Analysis!G121-Analysis!G137</calculatedColumnFormula>
    </tableColumn>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C756984-FDCE-4DD5-8758-0D7838BBC83F}" name="Table_To_Graph_Costs_by_Years19" displayName="Table_To_Graph_Costs_by_Years19" ref="C29:G31" totalsRowShown="0" headerRowDxfId="34" tableBorderDxfId="33">
  <autoFilter ref="C29:G31" xr:uid="{38924F3A-91E3-4A1E-98BA-07DA7C0985F9}"/>
  <tableColumns count="5">
    <tableColumn id="1" xr3:uid="{BA0DDFF7-6A90-49D8-A7A5-CA96040515FB}" name="Costs (USD)\Year" dataDxfId="32"/>
    <tableColumn id="2" xr3:uid="{18B82958-D659-45BE-BCB9-56B0439DE7DA}" name="Formula" dataDxfId="31"/>
    <tableColumn id="3" xr3:uid="{4814AFD0-66A0-45CE-B44D-F3E5319FBB62}" name="1  [$]" dataDxfId="30">
      <calculatedColumnFormula>SUM(E28:E29)</calculatedColumnFormula>
    </tableColumn>
    <tableColumn id="4" xr3:uid="{92765341-F52A-47E0-9093-1DC636D48123}" name="2  [$]" dataDxfId="29">
      <calculatedColumnFormula>business_cloud_cost_2_year</calculatedColumnFormula>
    </tableColumn>
    <tableColumn id="5" xr3:uid="{05EEC6BD-8BDA-46BE-83CC-D852298FDBAD}" name="3  [$]"/>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F246451-2428-44C0-96D8-F6E91987D3D4}" name="Table_post_mygration_analysis" displayName="Table_post_mygration_analysis" ref="C15:E18" totalsRowShown="0" headerRowDxfId="28" dataDxfId="27">
  <autoFilter ref="C15:E18" xr:uid="{77D74899-86F6-4DD2-8D5D-5F4891A5C3E2}"/>
  <tableColumns count="3">
    <tableColumn id="1" xr3:uid="{9294F5DB-A15C-4325-9D0C-8DB2A255A40B}" name="Post Mygration Analysis (Per Application)" dataDxfId="26"/>
    <tableColumn id="4" xr3:uid="{C4948933-E28C-42CD-8A1C-B2A094B27607}" name="Formula"/>
    <tableColumn id="2" xr3:uid="{FD1A92E9-6083-4AF0-A3D1-4E859805F87E}" name="Value" dataDxfId="25"/>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68B4C5-F1F3-4847-B458-440D20A1039E}" name="Table_TCO_sumary" displayName="Table_TCO_sumary" ref="C20:E23" totalsRowShown="0" headerRowDxfId="24" dataDxfId="23">
  <autoFilter ref="C20:E23" xr:uid="{ADCED923-13C9-4B90-AD11-584F65901EC8}"/>
  <tableColumns count="3">
    <tableColumn id="1" xr3:uid="{CC67CDD6-1B71-4119-88CE-C5EEC5A797A6}" name="TCO/Year 1 reduction (%)" dataDxfId="22"/>
    <tableColumn id="3" xr3:uid="{095E81C8-BA3A-4364-BC5A-0DC9330177DA}" name="Formula"/>
    <tableColumn id="2" xr3:uid="{D7C2C2BC-5702-404B-86AF-EA35F2ECA3FB}" name="   " dataDxfId="21"/>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95C2956-9842-4EFF-968E-34912AE8657B}" name="Table_implementation_costs_summary_1" displayName="Table_implementation_costs_summary_1" ref="C33:G34" totalsRowShown="0" headerRowDxfId="20" dataDxfId="19">
  <autoFilter ref="C33:G34" xr:uid="{81E5BC0C-C45E-468D-9709-0A63EA141B58}"/>
  <tableColumns count="5">
    <tableColumn id="1" xr3:uid="{59C7FE4E-3941-4CD1-AE4F-D13E6F328B7D}" name="Cost Implementation (Refactoring or Replatform estimated Using AMD estimating template)" dataDxfId="18">
      <calculatedColumnFormula>initial_investment</calculatedColumnFormula>
    </tableColumn>
    <tableColumn id="2" xr3:uid="{1DA54A58-D7AB-4F5C-A747-832F153A7372}" name="Formula" dataDxfId="17"/>
    <tableColumn id="3" xr3:uid="{7CFB38D0-738F-4B6A-AABF-A331C8FA4F4A}" name="Cloud cost (on-premise and cloud coexistence)2" dataDxfId="16">
      <calculatedColumnFormula>(total_legacy_cost_1_year/12)*number_of_months_of_implementation</calculatedColumnFormula>
    </tableColumn>
    <tableColumn id="4" xr3:uid="{4840B43A-5701-440A-9B2C-A75A440F57DD}" name="Cloud Licensing Costs (1 year)" dataDxfId="15">
      <calculatedColumnFormula>cloud_licensing_costs_1_year</calculatedColumnFormula>
    </tableColumn>
    <tableColumn id="5" xr3:uid="{B4C004FE-75FC-467B-8C7C-D95683464508}" name="Total Costs" dataDxfId="14">
      <calculatedColumnFormula>SUM(Table_implementation_costs_summary_1[[#This Row],[Cost Implementation (Refactoring or Replatform estimated Using AMD estimating template)]:[Cloud cost (on-premise and cloud coexistence)2]])+Table_implementation_costs_summary_1[[#This Row],[Cloud Licensing Costs (1 year)]]</calculatedColumnFormula>
    </tableColumn>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D7722AF-FA5A-427F-A82C-D1AC4078DBE3}" name="Tabla_ROI_TCO" displayName="Tabla_ROI_TCO" ref="I15:N20" totalsRowShown="0" headerRowDxfId="13" dataDxfId="12">
  <autoFilter ref="I15:N20" xr:uid="{DCDDAF61-B402-45F8-9505-B6CF005442C5}"/>
  <tableColumns count="6">
    <tableColumn id="1" xr3:uid="{FD687B5B-BBB2-489E-9DBD-F18BBB0E6987}" name=" Item\Years" dataDxfId="11"/>
    <tableColumn id="5" xr3:uid="{EF8DC22F-BCDE-4F8F-AD36-F91E7D15D303}" name="Formula" dataDxfId="10"/>
    <tableColumn id="7" xr3:uid="{82670D16-4FDD-42E5-AB0B-D84E130845B2}" name="0" dataDxfId="9"/>
    <tableColumn id="2" xr3:uid="{7870CB9B-E3AA-473B-BFBA-5EA02EDE40B5}" name="1" dataDxfId="8"/>
    <tableColumn id="3" xr3:uid="{37498E92-BC81-4F35-82D4-CD69ED78C3C0}" name="2" dataDxfId="7"/>
    <tableColumn id="4" xr3:uid="{DD79B9EF-C635-4BA7-A95C-B2DAAADE8437}" name="3" dataDxfId="6"/>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36C9171-F78D-4C3F-95A4-17BA38C8A506}" name="Table_implementation_costs_summary_2" displayName="Table_implementation_costs_summary_2" ref="C37:F38" totalsRowShown="0" dataDxfId="5" tableBorderDxfId="4">
  <autoFilter ref="C37:F38" xr:uid="{B6CC2DF4-5BCE-4A9C-ABA0-34015F8A4511}"/>
  <tableColumns count="4">
    <tableColumn id="1" xr3:uid="{1D8AAA36-D1ED-47AF-AB2A-749F9C317144}" name="Cost Implementation (Refactoring or Replatform estimated Using AMD estimating template)" dataDxfId="3">
      <calculatedColumnFormula>initial_investment</calculatedColumnFormula>
    </tableColumn>
    <tableColumn id="2" xr3:uid="{4C1D513E-6775-48CA-A786-338AF68E589F}" name="Formula" dataDxfId="2"/>
    <tableColumn id="3" xr3:uid="{C0E2B135-302C-4D1B-BCCA-447970BD0AEF}" name="Cloud cost (on-premise and cloud coexistence)2" dataDxfId="1">
      <calculatedColumnFormula>(total_legacy_cost_1_year/12)*number_of_months_of_implementation</calculatedColumnFormula>
    </tableColumn>
    <tableColumn id="4" xr3:uid="{BC4B61AD-A1C7-4A22-9698-303F69F42BEA}" name="Total Costs" dataDxfId="0">
      <calculatedColumnFormula>SUM(C38:E38)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4.vml"/><Relationship Id="rId7" Type="http://schemas.openxmlformats.org/officeDocument/2006/relationships/table" Target="../tables/table4.xml"/><Relationship Id="rId12" Type="http://schemas.openxmlformats.org/officeDocument/2006/relationships/comments" Target="../comments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11" Type="http://schemas.openxmlformats.org/officeDocument/2006/relationships/table" Target="../tables/table8.xml"/><Relationship Id="rId5" Type="http://schemas.openxmlformats.org/officeDocument/2006/relationships/table" Target="../tables/table2.xml"/><Relationship Id="rId10" Type="http://schemas.openxmlformats.org/officeDocument/2006/relationships/table" Target="../tables/table7.xml"/><Relationship Id="rId4" Type="http://schemas.openxmlformats.org/officeDocument/2006/relationships/table" Target="../tables/table1.xml"/><Relationship Id="rId9"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mments" Target="../comments3.xml"/><Relationship Id="rId5" Type="http://schemas.openxmlformats.org/officeDocument/2006/relationships/table" Target="../tables/table10.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7"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7.vml"/><Relationship Id="rId7" Type="http://schemas.openxmlformats.org/officeDocument/2006/relationships/table" Target="../tables/table18.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 Id="rId9"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5247E-139E-4DE0-9718-C36A2A4C17BF}">
  <sheetPr codeName="Sheet1"/>
  <dimension ref="A1:I1048576"/>
  <sheetViews>
    <sheetView zoomScale="110" zoomScaleNormal="110" workbookViewId="0">
      <selection activeCell="C21" sqref="C21"/>
    </sheetView>
  </sheetViews>
  <sheetFormatPr defaultColWidth="0" defaultRowHeight="15.75" zeroHeight="1"/>
  <cols>
    <col min="1" max="1" width="3.5703125" style="13" customWidth="1"/>
    <col min="2" max="2" width="3.85546875" style="13" customWidth="1"/>
    <col min="3" max="3" width="53.85546875" style="14" customWidth="1"/>
    <col min="4" max="4" width="18.85546875" style="14" customWidth="1"/>
    <col min="5" max="5" width="23.5703125" style="14" customWidth="1"/>
    <col min="6" max="6" width="23.42578125" style="13" customWidth="1"/>
    <col min="7" max="7" width="7" style="13" customWidth="1"/>
    <col min="8" max="8" width="4.85546875" style="13" customWidth="1"/>
    <col min="9" max="16384" width="8.7109375" hidden="1"/>
  </cols>
  <sheetData>
    <row r="1" spans="3:9" s="13" customFormat="1">
      <c r="C1" s="14"/>
      <c r="D1" s="14"/>
    </row>
    <row r="2" spans="3:9">
      <c r="E2" s="13"/>
    </row>
    <row r="3" spans="3:9" ht="23.25">
      <c r="C3" s="276" t="s">
        <v>0</v>
      </c>
      <c r="D3" s="276"/>
      <c r="E3" s="276"/>
      <c r="F3" s="276"/>
      <c r="G3" s="56"/>
    </row>
    <row r="4" spans="3:9" ht="23.25">
      <c r="C4" s="276" t="s">
        <v>1</v>
      </c>
      <c r="D4" s="276"/>
      <c r="E4" s="276"/>
      <c r="F4" s="276"/>
      <c r="G4" s="56"/>
    </row>
    <row r="5" spans="3:9" ht="18.75">
      <c r="C5" s="45"/>
      <c r="D5" s="45"/>
      <c r="E5" s="45"/>
      <c r="F5" s="45"/>
      <c r="G5" s="46"/>
    </row>
    <row r="6" spans="3:9" ht="14.1" customHeight="1">
      <c r="C6" s="46"/>
      <c r="D6" s="46"/>
      <c r="E6" s="46"/>
      <c r="F6" s="46"/>
      <c r="G6" s="46"/>
    </row>
    <row r="7" spans="3:9" ht="14.1" customHeight="1">
      <c r="C7" s="277" t="s">
        <v>2</v>
      </c>
      <c r="D7" s="277"/>
      <c r="E7" s="277"/>
      <c r="F7" s="277"/>
      <c r="G7" s="222"/>
      <c r="I7" s="13"/>
    </row>
    <row r="8" spans="3:9">
      <c r="C8" s="47"/>
      <c r="D8" s="47"/>
      <c r="E8" s="48"/>
      <c r="F8" s="48"/>
      <c r="G8" s="48"/>
      <c r="I8" s="13"/>
    </row>
    <row r="9" spans="3:9">
      <c r="C9" s="47"/>
      <c r="D9" s="47"/>
      <c r="E9" s="48"/>
      <c r="F9" s="48"/>
      <c r="G9" s="48"/>
      <c r="I9" s="13"/>
    </row>
    <row r="10" spans="3:9">
      <c r="C10" s="47" t="s">
        <v>3</v>
      </c>
      <c r="D10" s="47"/>
      <c r="E10" s="43"/>
      <c r="F10" s="83"/>
      <c r="G10" s="83"/>
      <c r="I10" s="13"/>
    </row>
    <row r="11" spans="3:9">
      <c r="C11" s="47"/>
      <c r="D11" s="47"/>
      <c r="E11" s="48"/>
      <c r="F11" s="83"/>
      <c r="G11" s="83"/>
      <c r="I11" s="13"/>
    </row>
    <row r="12" spans="3:9">
      <c r="C12" s="47" t="s">
        <v>4</v>
      </c>
      <c r="D12" s="47"/>
      <c r="E12" s="43"/>
      <c r="F12" s="83"/>
      <c r="G12" s="83"/>
      <c r="I12" s="13"/>
    </row>
    <row r="13" spans="3:9">
      <c r="C13" s="47"/>
      <c r="D13" s="47"/>
      <c r="E13" s="48"/>
      <c r="F13" s="83"/>
      <c r="G13" s="83"/>
      <c r="I13" s="13"/>
    </row>
    <row r="14" spans="3:9">
      <c r="C14" s="47" t="s">
        <v>5</v>
      </c>
      <c r="D14" s="47"/>
      <c r="E14" s="128"/>
      <c r="F14" s="83"/>
      <c r="G14" s="83"/>
      <c r="I14" s="13"/>
    </row>
    <row r="15" spans="3:9">
      <c r="C15" s="47"/>
      <c r="D15" s="47"/>
      <c r="E15" s="48"/>
      <c r="F15" s="83"/>
      <c r="G15" s="83"/>
      <c r="I15" s="13"/>
    </row>
    <row r="16" spans="3:9" ht="31.5">
      <c r="C16" s="47" t="s">
        <v>6</v>
      </c>
      <c r="D16" s="49"/>
      <c r="E16" s="43" t="s">
        <v>7</v>
      </c>
      <c r="F16" s="83"/>
      <c r="G16" s="83"/>
      <c r="I16" s="13"/>
    </row>
    <row r="17" spans="3:9">
      <c r="C17" s="47"/>
      <c r="D17" s="47"/>
      <c r="E17" s="47"/>
      <c r="F17" s="83"/>
      <c r="G17" s="83"/>
      <c r="I17" s="13"/>
    </row>
    <row r="18" spans="3:9" ht="31.5">
      <c r="C18" s="47" t="s">
        <v>8</v>
      </c>
      <c r="D18" s="47"/>
      <c r="E18" s="47"/>
      <c r="F18" s="83"/>
      <c r="G18" s="83"/>
      <c r="I18" s="13"/>
    </row>
    <row r="19" spans="3:9">
      <c r="C19" s="47"/>
      <c r="D19" s="47"/>
      <c r="E19" s="16" t="s">
        <v>9</v>
      </c>
      <c r="F19" s="48"/>
      <c r="G19" s="48"/>
      <c r="I19" s="13"/>
    </row>
    <row r="20" spans="3:9">
      <c r="C20" s="47"/>
      <c r="D20" s="47"/>
      <c r="E20" s="16" t="s">
        <v>10</v>
      </c>
      <c r="F20" s="48"/>
      <c r="G20" s="48"/>
      <c r="I20" s="13"/>
    </row>
    <row r="21" spans="3:9">
      <c r="C21" s="47"/>
      <c r="D21" s="47"/>
      <c r="E21" s="16" t="s">
        <v>11</v>
      </c>
      <c r="F21" s="48"/>
      <c r="G21" s="48"/>
      <c r="I21" s="13"/>
    </row>
    <row r="22" spans="3:9">
      <c r="C22" s="41"/>
      <c r="D22" s="41"/>
      <c r="E22" s="16" t="s">
        <v>12</v>
      </c>
      <c r="F22" s="42"/>
      <c r="G22" s="42"/>
      <c r="I22" s="13"/>
    </row>
    <row r="23" spans="3:9">
      <c r="E23" s="16" t="s">
        <v>13</v>
      </c>
      <c r="F23" s="43"/>
      <c r="G23" s="48"/>
      <c r="I23" s="13"/>
    </row>
    <row r="24" spans="3:9">
      <c r="E24" s="13"/>
      <c r="I24" s="13"/>
    </row>
    <row r="25" spans="3:9">
      <c r="I25" s="13"/>
    </row>
    <row r="26" spans="3:9"/>
    <row r="27" spans="3:9"/>
    <row r="28" spans="3:9"/>
    <row r="1048566" spans="5:8" hidden="1">
      <c r="E1048566"/>
      <c r="F1048566"/>
      <c r="G1048566"/>
      <c r="H1048566"/>
    </row>
    <row r="1048567" spans="5:8" hidden="1">
      <c r="E1048567"/>
      <c r="F1048567"/>
      <c r="G1048567"/>
      <c r="H1048567"/>
    </row>
    <row r="1048568" spans="5:8" hidden="1">
      <c r="E1048568"/>
      <c r="F1048568"/>
      <c r="G1048568"/>
      <c r="H1048568"/>
    </row>
    <row r="1048569" spans="5:8" hidden="1">
      <c r="E1048569"/>
      <c r="F1048569"/>
      <c r="G1048569"/>
      <c r="H1048569"/>
    </row>
    <row r="1048570" spans="5:8" hidden="1">
      <c r="E1048570"/>
      <c r="F1048570"/>
      <c r="G1048570"/>
      <c r="H1048570"/>
    </row>
    <row r="1048571" spans="5:8" hidden="1">
      <c r="E1048571"/>
      <c r="F1048571"/>
      <c r="G1048571"/>
      <c r="H1048571"/>
    </row>
    <row r="1048572" spans="5:8" hidden="1">
      <c r="E1048572"/>
      <c r="F1048572"/>
      <c r="G1048572"/>
      <c r="H1048572"/>
    </row>
    <row r="1048573" spans="5:8" hidden="1">
      <c r="E1048573"/>
      <c r="F1048573"/>
      <c r="G1048573"/>
      <c r="H1048573"/>
    </row>
    <row r="1048574" spans="5:8" hidden="1">
      <c r="E1048574"/>
      <c r="F1048574"/>
      <c r="G1048574"/>
      <c r="H1048574"/>
    </row>
    <row r="1048575" spans="5:8" hidden="1">
      <c r="E1048575"/>
      <c r="F1048575"/>
      <c r="G1048575"/>
      <c r="H1048575"/>
    </row>
    <row r="1048576" spans="5:8" hidden="1">
      <c r="E1048576"/>
      <c r="F1048576"/>
      <c r="G1048576"/>
      <c r="H1048576"/>
    </row>
  </sheetData>
  <mergeCells count="3">
    <mergeCell ref="C3:F3"/>
    <mergeCell ref="C4:F4"/>
    <mergeCell ref="C7:F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Check Box 8">
              <controlPr defaultSize="0" autoFill="0" autoLine="0" autoPict="0">
                <anchor moveWithCells="1">
                  <from>
                    <xdr:col>3</xdr:col>
                    <xdr:colOff>1038225</xdr:colOff>
                    <xdr:row>18</xdr:row>
                    <xdr:rowOff>9525</xdr:rowOff>
                  </from>
                  <to>
                    <xdr:col>4</xdr:col>
                    <xdr:colOff>466725</xdr:colOff>
                    <xdr:row>19</xdr:row>
                    <xdr:rowOff>28575</xdr:rowOff>
                  </to>
                </anchor>
              </controlPr>
            </control>
          </mc:Choice>
        </mc:AlternateContent>
        <mc:AlternateContent xmlns:mc="http://schemas.openxmlformats.org/markup-compatibility/2006">
          <mc:Choice Requires="x14">
            <control shapeId="1033" r:id="rId5" name="Check Box 9">
              <controlPr defaultSize="0" autoFill="0" autoLine="0" autoPict="0">
                <anchor moveWithCells="1">
                  <from>
                    <xdr:col>3</xdr:col>
                    <xdr:colOff>1047750</xdr:colOff>
                    <xdr:row>19</xdr:row>
                    <xdr:rowOff>9525</xdr:rowOff>
                  </from>
                  <to>
                    <xdr:col>4</xdr:col>
                    <xdr:colOff>476250</xdr:colOff>
                    <xdr:row>20</xdr:row>
                    <xdr:rowOff>28575</xdr:rowOff>
                  </to>
                </anchor>
              </controlPr>
            </control>
          </mc:Choice>
        </mc:AlternateContent>
        <mc:AlternateContent xmlns:mc="http://schemas.openxmlformats.org/markup-compatibility/2006">
          <mc:Choice Requires="x14">
            <control shapeId="1035" r:id="rId6" name="Check Box 11">
              <controlPr defaultSize="0" autoFill="0" autoLine="0" autoPict="0">
                <anchor moveWithCells="1">
                  <from>
                    <xdr:col>3</xdr:col>
                    <xdr:colOff>1047750</xdr:colOff>
                    <xdr:row>20</xdr:row>
                    <xdr:rowOff>9525</xdr:rowOff>
                  </from>
                  <to>
                    <xdr:col>4</xdr:col>
                    <xdr:colOff>533400</xdr:colOff>
                    <xdr:row>21</xdr:row>
                    <xdr:rowOff>28575</xdr:rowOff>
                  </to>
                </anchor>
              </controlPr>
            </control>
          </mc:Choice>
        </mc:AlternateContent>
        <mc:AlternateContent xmlns:mc="http://schemas.openxmlformats.org/markup-compatibility/2006">
          <mc:Choice Requires="x14">
            <control shapeId="1036" r:id="rId7" name="Check Box 12">
              <controlPr defaultSize="0" autoFill="0" autoLine="0" autoPict="0">
                <anchor moveWithCells="1">
                  <from>
                    <xdr:col>3</xdr:col>
                    <xdr:colOff>1057275</xdr:colOff>
                    <xdr:row>21</xdr:row>
                    <xdr:rowOff>0</xdr:rowOff>
                  </from>
                  <to>
                    <xdr:col>4</xdr:col>
                    <xdr:colOff>542925</xdr:colOff>
                    <xdr:row>22</xdr:row>
                    <xdr:rowOff>19050</xdr:rowOff>
                  </to>
                </anchor>
              </controlPr>
            </control>
          </mc:Choice>
        </mc:AlternateContent>
        <mc:AlternateContent xmlns:mc="http://schemas.openxmlformats.org/markup-compatibility/2006">
          <mc:Choice Requires="x14">
            <control shapeId="1037" r:id="rId8" name="Check Box 13">
              <controlPr defaultSize="0" autoFill="0" autoLine="0" autoPict="0">
                <anchor moveWithCells="1">
                  <from>
                    <xdr:col>3</xdr:col>
                    <xdr:colOff>1047750</xdr:colOff>
                    <xdr:row>22</xdr:row>
                    <xdr:rowOff>0</xdr:rowOff>
                  </from>
                  <to>
                    <xdr:col>4</xdr:col>
                    <xdr:colOff>533400</xdr:colOff>
                    <xdr:row>23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19190-4140-421F-950F-3BDE3CA8491E}">
  <sheetPr codeName="Sheet2"/>
  <dimension ref="A1:J92"/>
  <sheetViews>
    <sheetView topLeftCell="A3" zoomScale="130" zoomScaleNormal="130" workbookViewId="0">
      <selection activeCell="E18" sqref="E18"/>
    </sheetView>
  </sheetViews>
  <sheetFormatPr defaultColWidth="0" defaultRowHeight="15.75" zeroHeight="1"/>
  <cols>
    <col min="1" max="1" width="4.85546875" style="13" customWidth="1"/>
    <col min="2" max="2" width="4" style="13" customWidth="1"/>
    <col min="3" max="3" width="57.5703125" style="14" customWidth="1"/>
    <col min="4" max="4" width="22.42578125" style="14" customWidth="1"/>
    <col min="5" max="5" width="31.28515625" style="16" customWidth="1"/>
    <col min="6" max="6" width="6.85546875" style="15" customWidth="1"/>
    <col min="7" max="7" width="7.5703125" style="13" customWidth="1"/>
    <col min="8" max="10" width="0" style="13" hidden="1" customWidth="1"/>
    <col min="11" max="16384" width="8.7109375" style="13" hidden="1"/>
  </cols>
  <sheetData>
    <row r="1" spans="1:9"/>
    <row r="2" spans="1:9" customFormat="1">
      <c r="A2" s="13"/>
      <c r="B2" s="13"/>
      <c r="C2" s="14"/>
      <c r="D2" s="14"/>
      <c r="E2" s="16"/>
      <c r="F2" s="15"/>
      <c r="G2" s="13"/>
      <c r="H2" s="13"/>
      <c r="I2" s="13"/>
    </row>
    <row r="3" spans="1:9" customFormat="1" ht="18.75" customHeight="1">
      <c r="A3" s="13"/>
      <c r="B3" s="13"/>
      <c r="C3" s="276" t="s">
        <v>0</v>
      </c>
      <c r="D3" s="276"/>
      <c r="E3" s="276"/>
      <c r="F3" s="276"/>
      <c r="G3" s="13"/>
      <c r="H3" s="13"/>
      <c r="I3" s="13"/>
    </row>
    <row r="4" spans="1:9" customFormat="1" ht="19.5" customHeight="1">
      <c r="A4" s="13"/>
      <c r="B4" s="13"/>
      <c r="C4" s="276" t="s">
        <v>14</v>
      </c>
      <c r="D4" s="276"/>
      <c r="E4" s="276"/>
      <c r="F4" s="276"/>
      <c r="G4" s="13"/>
      <c r="H4" s="13"/>
      <c r="I4" s="13"/>
    </row>
    <row r="5" spans="1:9" customFormat="1" ht="18.75">
      <c r="A5" s="13"/>
      <c r="B5" s="13"/>
      <c r="C5" s="280"/>
      <c r="D5" s="280"/>
      <c r="E5" s="280"/>
      <c r="F5" s="57"/>
      <c r="G5" s="13"/>
      <c r="H5" s="13"/>
      <c r="I5" s="13"/>
    </row>
    <row r="6" spans="1:9" customFormat="1" ht="8.1" customHeight="1">
      <c r="A6" s="13"/>
      <c r="B6" s="13"/>
      <c r="C6" s="46"/>
      <c r="D6" s="46"/>
      <c r="E6" s="46"/>
      <c r="F6" s="13"/>
      <c r="G6" s="13"/>
      <c r="H6" s="13"/>
      <c r="I6" s="13"/>
    </row>
    <row r="7" spans="1:9" customFormat="1" ht="11.45" customHeight="1">
      <c r="A7" s="13"/>
      <c r="B7" s="13"/>
      <c r="C7" s="46"/>
      <c r="D7" s="46"/>
      <c r="E7" s="46"/>
      <c r="F7" s="13"/>
      <c r="G7" s="13"/>
      <c r="H7" s="13"/>
      <c r="I7" s="13"/>
    </row>
    <row r="8" spans="1:9" customFormat="1" ht="14.1" customHeight="1">
      <c r="A8" s="13"/>
      <c r="B8" s="13"/>
      <c r="C8" s="279" t="s">
        <v>15</v>
      </c>
      <c r="D8" s="279"/>
      <c r="E8" s="279"/>
      <c r="F8" s="13"/>
      <c r="G8" s="13"/>
      <c r="H8" s="13"/>
      <c r="I8" s="13"/>
    </row>
    <row r="9" spans="1:9" customFormat="1" ht="14.45" customHeight="1">
      <c r="A9" s="13"/>
      <c r="B9" s="13"/>
      <c r="C9" s="46"/>
      <c r="D9" s="46"/>
      <c r="E9" s="46"/>
      <c r="F9" s="13"/>
      <c r="G9" s="13"/>
      <c r="H9" s="13"/>
      <c r="I9" s="13"/>
    </row>
    <row r="10" spans="1:9" customFormat="1" ht="18.600000000000001" customHeight="1">
      <c r="A10" s="13"/>
      <c r="B10" s="13"/>
      <c r="C10" s="281" t="s">
        <v>16</v>
      </c>
      <c r="D10" s="281"/>
      <c r="E10" s="281"/>
      <c r="F10" s="84"/>
      <c r="G10" s="13"/>
      <c r="H10" s="13"/>
      <c r="I10" s="13"/>
    </row>
    <row r="11" spans="1:9" customFormat="1" ht="24.6" customHeight="1">
      <c r="A11" s="13"/>
      <c r="B11" s="13"/>
      <c r="C11" s="51"/>
      <c r="D11" s="51"/>
      <c r="E11" s="51"/>
      <c r="F11" s="51"/>
      <c r="G11" s="13"/>
      <c r="H11" s="13"/>
      <c r="I11" s="13"/>
    </row>
    <row r="12" spans="1:9" customFormat="1">
      <c r="A12" s="13"/>
      <c r="B12" s="13"/>
      <c r="C12" s="14" t="s">
        <v>17</v>
      </c>
      <c r="D12" s="14"/>
      <c r="E12" s="131" t="str">
        <f>application_name</f>
        <v xml:space="preserve">  </v>
      </c>
      <c r="F12" s="15"/>
      <c r="G12" s="13"/>
      <c r="H12" s="13"/>
      <c r="I12" s="13"/>
    </row>
    <row r="13" spans="1:9" customFormat="1">
      <c r="A13" s="13"/>
      <c r="B13" s="13"/>
      <c r="C13" s="14"/>
      <c r="D13" s="14"/>
      <c r="E13" s="130"/>
      <c r="F13" s="15"/>
      <c r="G13" s="13"/>
      <c r="H13" s="13"/>
      <c r="I13" s="13"/>
    </row>
    <row r="14" spans="1:9" customFormat="1" ht="31.5">
      <c r="A14" s="13"/>
      <c r="B14" s="13"/>
      <c r="C14" s="14" t="s">
        <v>18</v>
      </c>
      <c r="D14" s="14"/>
      <c r="E14" s="25"/>
      <c r="F14" s="15"/>
      <c r="G14" s="13"/>
      <c r="H14" s="13"/>
      <c r="I14" s="13"/>
    </row>
    <row r="15" spans="1:9" customFormat="1">
      <c r="A15" s="13"/>
      <c r="B15" s="13"/>
      <c r="C15" s="14"/>
      <c r="D15" s="14"/>
      <c r="E15" s="16"/>
      <c r="F15" s="15"/>
      <c r="G15" s="13"/>
      <c r="H15" s="13"/>
      <c r="I15" s="13"/>
    </row>
    <row r="16" spans="1:9" customFormat="1" ht="31.5">
      <c r="A16" s="13"/>
      <c r="B16" s="13"/>
      <c r="C16" s="14" t="s">
        <v>19</v>
      </c>
      <c r="D16" s="14"/>
      <c r="E16" s="25"/>
      <c r="F16" s="15"/>
      <c r="G16" s="13"/>
      <c r="H16" s="13"/>
      <c r="I16" s="13"/>
    </row>
    <row r="17" spans="1:9" customFormat="1">
      <c r="A17" s="13"/>
      <c r="B17" s="13"/>
      <c r="C17" s="14"/>
      <c r="D17" s="14"/>
      <c r="E17" s="16"/>
      <c r="F17" s="15"/>
      <c r="G17" s="13"/>
      <c r="H17" s="13"/>
      <c r="I17" s="13"/>
    </row>
    <row r="18" spans="1:9" customFormat="1" ht="31.5">
      <c r="A18" s="13"/>
      <c r="B18" s="13"/>
      <c r="C18" s="14" t="s">
        <v>20</v>
      </c>
      <c r="D18" s="14"/>
      <c r="E18" s="26"/>
      <c r="F18" s="15"/>
      <c r="G18" s="15"/>
      <c r="H18" s="13"/>
      <c r="I18" s="13"/>
    </row>
    <row r="19" spans="1:9" customFormat="1">
      <c r="A19" s="13"/>
      <c r="B19" s="13"/>
      <c r="C19" s="14"/>
      <c r="D19" s="14"/>
      <c r="E19" s="16"/>
      <c r="F19" s="15"/>
      <c r="G19" s="13"/>
      <c r="H19" s="13"/>
      <c r="I19" s="13"/>
    </row>
    <row r="20" spans="1:9" customFormat="1" ht="31.5">
      <c r="A20" s="13"/>
      <c r="B20" s="13"/>
      <c r="C20" s="14" t="s">
        <v>21</v>
      </c>
      <c r="D20" s="14"/>
      <c r="E20" s="26"/>
      <c r="F20" s="15"/>
      <c r="G20" s="13"/>
      <c r="H20" s="13"/>
      <c r="I20" s="13"/>
    </row>
    <row r="21" spans="1:9" customFormat="1">
      <c r="A21" s="13"/>
      <c r="B21" s="13"/>
      <c r="C21" s="14"/>
      <c r="D21" s="14"/>
      <c r="E21" s="16"/>
      <c r="F21" s="15"/>
      <c r="G21" s="13"/>
      <c r="H21" s="13"/>
      <c r="I21" s="13"/>
    </row>
    <row r="22" spans="1:9" customFormat="1">
      <c r="A22" s="13"/>
      <c r="B22" s="13"/>
      <c r="C22" s="14" t="s">
        <v>22</v>
      </c>
      <c r="D22" s="14"/>
      <c r="E22" s="25"/>
      <c r="F22" s="15"/>
      <c r="G22" s="13"/>
      <c r="H22" s="13"/>
      <c r="I22" s="13"/>
    </row>
    <row r="23" spans="1:9" customFormat="1">
      <c r="A23" s="13"/>
      <c r="B23" s="13"/>
      <c r="C23" s="14"/>
      <c r="D23" s="14"/>
      <c r="E23" s="14"/>
      <c r="F23" s="15"/>
      <c r="G23" s="13"/>
      <c r="H23" s="13"/>
      <c r="I23" s="13"/>
    </row>
    <row r="24" spans="1:9" customFormat="1">
      <c r="A24" s="13"/>
      <c r="B24" s="13"/>
      <c r="C24" s="13"/>
      <c r="D24" s="52"/>
      <c r="E24" s="14"/>
      <c r="F24" s="15"/>
      <c r="G24" s="13"/>
      <c r="H24" s="13"/>
      <c r="I24" s="13"/>
    </row>
    <row r="25" spans="1:9" customFormat="1">
      <c r="A25" s="13"/>
      <c r="B25" s="13"/>
      <c r="C25" s="13"/>
      <c r="D25" s="52"/>
      <c r="E25" s="16"/>
      <c r="F25" s="15"/>
      <c r="G25" s="13"/>
      <c r="H25" s="13"/>
      <c r="I25" s="13"/>
    </row>
    <row r="26" spans="1:9" customFormat="1" ht="15">
      <c r="A26" s="13"/>
      <c r="B26" s="13"/>
      <c r="C26" s="279" t="s">
        <v>23</v>
      </c>
      <c r="D26" s="279"/>
      <c r="E26" s="279"/>
      <c r="F26" s="15"/>
      <c r="G26" s="13"/>
      <c r="H26" s="13"/>
      <c r="I26" s="13"/>
    </row>
    <row r="27" spans="1:9" customFormat="1" ht="24.6" customHeight="1">
      <c r="A27" s="13"/>
      <c r="B27" s="13"/>
      <c r="C27" s="278" t="s">
        <v>24</v>
      </c>
      <c r="D27" s="278"/>
      <c r="E27" s="278"/>
      <c r="F27" s="278"/>
      <c r="G27" s="13"/>
      <c r="H27" s="13"/>
      <c r="I27" s="13"/>
    </row>
    <row r="28" spans="1:9" customFormat="1">
      <c r="A28" s="13"/>
      <c r="B28" s="13"/>
      <c r="C28" s="14"/>
      <c r="D28" s="14"/>
      <c r="E28" s="16"/>
      <c r="F28" s="15"/>
      <c r="G28" s="13"/>
      <c r="H28" s="13"/>
      <c r="I28" s="13"/>
    </row>
    <row r="29" spans="1:9" customFormat="1">
      <c r="A29" s="13"/>
      <c r="B29" s="13"/>
      <c r="C29" s="14" t="s">
        <v>25</v>
      </c>
      <c r="D29" s="14"/>
      <c r="E29" s="26"/>
      <c r="F29" s="15"/>
      <c r="G29" s="13"/>
      <c r="H29" s="13"/>
      <c r="I29" s="13"/>
    </row>
    <row r="30" spans="1:9" customFormat="1">
      <c r="A30" s="13"/>
      <c r="B30" s="13"/>
      <c r="C30" s="14"/>
      <c r="D30" s="14"/>
      <c r="E30" s="16"/>
      <c r="F30" s="15"/>
      <c r="G30" s="13"/>
      <c r="H30" s="13"/>
      <c r="I30" s="13"/>
    </row>
    <row r="31" spans="1:9" customFormat="1">
      <c r="A31" s="13"/>
      <c r="B31" s="13"/>
      <c r="C31" s="14" t="s">
        <v>26</v>
      </c>
      <c r="D31" s="14"/>
      <c r="E31" s="26"/>
      <c r="F31" s="15"/>
      <c r="G31" s="13"/>
      <c r="H31" s="13"/>
      <c r="I31" s="13"/>
    </row>
    <row r="32" spans="1:9" customFormat="1">
      <c r="A32" s="13"/>
      <c r="B32" s="13"/>
      <c r="C32" s="14"/>
      <c r="D32" s="14"/>
      <c r="E32" s="16"/>
      <c r="F32" s="15"/>
      <c r="G32" s="13"/>
      <c r="H32" s="13"/>
      <c r="I32" s="13"/>
    </row>
    <row r="33" spans="1:7" customFormat="1">
      <c r="A33" s="13"/>
      <c r="B33" s="13"/>
      <c r="C33" s="14"/>
      <c r="D33" s="14"/>
      <c r="E33" s="16"/>
      <c r="F33" s="15"/>
      <c r="G33" s="13"/>
    </row>
    <row r="34" spans="1:7" customFormat="1">
      <c r="A34" s="13"/>
      <c r="B34" s="13"/>
      <c r="C34" s="14"/>
      <c r="D34" s="14"/>
      <c r="E34" s="16"/>
      <c r="F34" s="15"/>
      <c r="G34" s="13"/>
    </row>
    <row r="35" spans="1:7" customFormat="1" ht="18.75">
      <c r="A35" s="13"/>
      <c r="B35" s="13"/>
      <c r="C35" s="279" t="s">
        <v>27</v>
      </c>
      <c r="D35" s="279"/>
      <c r="E35" s="279"/>
      <c r="F35" s="57"/>
      <c r="G35" s="13"/>
    </row>
    <row r="36" spans="1:7" customFormat="1" ht="24.6" customHeight="1">
      <c r="A36" s="13"/>
      <c r="B36" s="13"/>
      <c r="C36" s="278" t="s">
        <v>28</v>
      </c>
      <c r="D36" s="278"/>
      <c r="E36" s="278"/>
      <c r="F36" s="278"/>
      <c r="G36" s="13"/>
    </row>
    <row r="37" spans="1:7" customFormat="1">
      <c r="A37" s="13"/>
      <c r="B37" s="13"/>
      <c r="C37" s="14"/>
      <c r="D37" s="14"/>
      <c r="E37" s="16"/>
      <c r="F37" s="15"/>
      <c r="G37" s="13"/>
    </row>
    <row r="38" spans="1:7" customFormat="1" ht="31.5">
      <c r="A38" s="13"/>
      <c r="B38" s="13"/>
      <c r="C38" s="14" t="s">
        <v>29</v>
      </c>
      <c r="D38" s="14"/>
      <c r="E38" s="16" t="s">
        <v>30</v>
      </c>
      <c r="F38" s="15"/>
      <c r="G38" s="13"/>
    </row>
    <row r="39" spans="1:7" customFormat="1">
      <c r="A39" s="13"/>
      <c r="B39" s="13"/>
      <c r="C39" s="14"/>
      <c r="D39" s="14"/>
      <c r="E39" s="16" t="s">
        <v>31</v>
      </c>
      <c r="F39" s="15"/>
      <c r="G39" s="13"/>
    </row>
    <row r="40" spans="1:7" customFormat="1">
      <c r="A40" s="13"/>
      <c r="B40" s="13"/>
      <c r="C40" s="14"/>
      <c r="D40" s="14"/>
      <c r="E40" s="16" t="s">
        <v>32</v>
      </c>
      <c r="F40" s="15"/>
      <c r="G40" s="13"/>
    </row>
    <row r="41" spans="1:7" customFormat="1">
      <c r="A41" s="13"/>
      <c r="B41" s="13"/>
      <c r="C41" s="14"/>
      <c r="D41" s="14"/>
      <c r="E41" s="16"/>
      <c r="F41" s="15"/>
      <c r="G41" s="13"/>
    </row>
    <row r="42" spans="1:7" customFormat="1">
      <c r="A42" s="13"/>
      <c r="B42" s="13"/>
      <c r="C42" s="53" t="s">
        <v>33</v>
      </c>
      <c r="D42" s="53"/>
      <c r="E42" s="54"/>
      <c r="F42" s="15"/>
      <c r="G42" s="13"/>
    </row>
    <row r="43" spans="1:7" customFormat="1" ht="31.5">
      <c r="A43" s="13"/>
      <c r="B43" s="13"/>
      <c r="C43" s="14" t="s">
        <v>34</v>
      </c>
      <c r="D43" s="14"/>
      <c r="E43" s="27"/>
      <c r="F43" s="15"/>
      <c r="G43" s="13"/>
    </row>
    <row r="44" spans="1:7" customFormat="1">
      <c r="A44" s="13"/>
      <c r="B44" s="13"/>
      <c r="C44" s="14"/>
      <c r="D44" s="14"/>
      <c r="E44" s="54"/>
      <c r="F44" s="15"/>
      <c r="G44" s="13"/>
    </row>
    <row r="45" spans="1:7" customFormat="1" ht="31.5">
      <c r="A45" s="13"/>
      <c r="B45" s="13"/>
      <c r="C45" s="14" t="s">
        <v>35</v>
      </c>
      <c r="D45" s="14"/>
      <c r="E45" s="25"/>
      <c r="F45" s="15"/>
      <c r="G45" s="13"/>
    </row>
    <row r="46" spans="1:7" customFormat="1">
      <c r="A46" s="13"/>
      <c r="B46" s="13"/>
      <c r="C46" s="14"/>
      <c r="D46" s="14"/>
      <c r="E46" s="54"/>
      <c r="F46" s="15"/>
      <c r="G46" s="13"/>
    </row>
    <row r="47" spans="1:7" customFormat="1" ht="31.5">
      <c r="A47" s="13"/>
      <c r="B47" s="13"/>
      <c r="C47" s="14" t="s">
        <v>36</v>
      </c>
      <c r="D47" s="14"/>
      <c r="E47" s="27"/>
      <c r="F47" s="15"/>
      <c r="G47" s="13"/>
    </row>
    <row r="48" spans="1:7" customFormat="1">
      <c r="A48" s="13"/>
      <c r="B48" s="13"/>
      <c r="C48" s="14"/>
      <c r="D48" s="14"/>
      <c r="E48" s="54"/>
      <c r="F48" s="15"/>
      <c r="G48" s="13"/>
    </row>
    <row r="49" spans="1:8" customFormat="1" ht="31.5">
      <c r="A49" s="13"/>
      <c r="B49" s="13"/>
      <c r="C49" s="14" t="s">
        <v>37</v>
      </c>
      <c r="D49" s="14"/>
      <c r="E49" s="26"/>
      <c r="F49" s="15"/>
      <c r="G49" s="13"/>
    </row>
    <row r="50" spans="1:8" customFormat="1">
      <c r="A50" s="13"/>
      <c r="B50" s="13"/>
      <c r="C50" s="53"/>
      <c r="D50" s="53"/>
      <c r="E50" s="54"/>
      <c r="F50" s="15"/>
      <c r="G50" s="13"/>
      <c r="H50" s="13"/>
    </row>
    <row r="51" spans="1:8" customFormat="1" ht="31.5">
      <c r="A51" s="13"/>
      <c r="B51" s="13"/>
      <c r="C51" s="14" t="s">
        <v>38</v>
      </c>
      <c r="D51" s="53"/>
      <c r="E51" s="26"/>
      <c r="F51" s="15"/>
      <c r="G51" s="13"/>
      <c r="H51" s="13"/>
    </row>
    <row r="52" spans="1:8" customFormat="1">
      <c r="A52" s="13"/>
      <c r="B52" s="13"/>
      <c r="C52" s="53"/>
      <c r="D52" s="53"/>
      <c r="E52" s="54"/>
      <c r="F52" s="15"/>
      <c r="G52" s="13"/>
      <c r="H52" s="13"/>
    </row>
    <row r="53" spans="1:8" customFormat="1">
      <c r="A53" s="13"/>
      <c r="B53" s="13"/>
      <c r="C53" s="53" t="s">
        <v>31</v>
      </c>
      <c r="D53" s="53"/>
      <c r="E53" s="54"/>
      <c r="F53" s="15"/>
      <c r="G53" s="13"/>
      <c r="H53" s="13"/>
    </row>
    <row r="54" spans="1:8" customFormat="1">
      <c r="A54" s="13"/>
      <c r="B54" s="13"/>
      <c r="C54" s="53"/>
      <c r="D54" s="53"/>
      <c r="E54" s="54"/>
      <c r="F54" s="15"/>
      <c r="G54" s="13"/>
      <c r="H54" s="13"/>
    </row>
    <row r="55" spans="1:8" customFormat="1">
      <c r="A55" s="13"/>
      <c r="B55" s="13"/>
      <c r="C55" s="14" t="s">
        <v>39</v>
      </c>
      <c r="D55" s="14"/>
      <c r="E55" s="26"/>
      <c r="F55" s="15"/>
      <c r="G55" s="13"/>
      <c r="H55" s="13"/>
    </row>
    <row r="56" spans="1:8" customFormat="1">
      <c r="A56" s="13"/>
      <c r="B56" s="13"/>
      <c r="C56" s="53"/>
      <c r="D56" s="53"/>
      <c r="E56" s="54"/>
      <c r="F56" s="15"/>
      <c r="G56" s="13"/>
      <c r="H56" s="13"/>
    </row>
    <row r="57" spans="1:8" customFormat="1">
      <c r="A57" s="13"/>
      <c r="B57" s="13"/>
      <c r="C57" s="53" t="s">
        <v>40</v>
      </c>
      <c r="D57" s="53"/>
      <c r="E57" s="54"/>
      <c r="F57" s="15"/>
      <c r="G57" s="13"/>
      <c r="H57" s="13"/>
    </row>
    <row r="58" spans="1:8" customFormat="1">
      <c r="A58" s="13"/>
      <c r="B58" s="13"/>
      <c r="C58" s="53"/>
      <c r="D58" s="53"/>
      <c r="E58" s="54"/>
      <c r="F58" s="15"/>
      <c r="G58" s="13"/>
      <c r="H58" s="13"/>
    </row>
    <row r="59" spans="1:8" customFormat="1">
      <c r="A59" s="13"/>
      <c r="B59" s="13"/>
      <c r="C59" s="14" t="s">
        <v>39</v>
      </c>
      <c r="D59" s="14"/>
      <c r="E59" s="26"/>
      <c r="F59" s="15"/>
      <c r="G59" s="13"/>
      <c r="H59" s="13"/>
    </row>
    <row r="60" spans="1:8" customFormat="1" ht="15" customHeight="1">
      <c r="A60" s="13"/>
      <c r="B60" s="13"/>
      <c r="C60" s="53"/>
      <c r="D60" s="53"/>
      <c r="E60" s="54"/>
      <c r="F60" s="15"/>
      <c r="G60" s="13"/>
      <c r="H60" s="13"/>
    </row>
    <row r="61" spans="1:8" customFormat="1" ht="14.45" customHeight="1">
      <c r="A61" s="13"/>
      <c r="B61" s="13"/>
      <c r="C61" s="14"/>
      <c r="D61" s="14"/>
      <c r="E61" s="16"/>
      <c r="F61" s="15"/>
      <c r="G61" s="13"/>
      <c r="H61" s="13"/>
    </row>
    <row r="62" spans="1:8" customFormat="1" ht="18.75">
      <c r="A62" s="13"/>
      <c r="B62" s="13"/>
      <c r="C62" s="279" t="s">
        <v>41</v>
      </c>
      <c r="D62" s="279"/>
      <c r="E62" s="279"/>
      <c r="F62" s="57"/>
      <c r="G62" s="13"/>
      <c r="H62" s="13"/>
    </row>
    <row r="63" spans="1:8" customFormat="1" ht="24.6" customHeight="1">
      <c r="A63" s="13"/>
      <c r="B63" s="13"/>
      <c r="C63" s="278" t="s">
        <v>42</v>
      </c>
      <c r="D63" s="278"/>
      <c r="E63" s="278"/>
      <c r="F63" s="278"/>
      <c r="G63" s="13"/>
      <c r="H63" s="13"/>
    </row>
    <row r="64" spans="1:8" customFormat="1">
      <c r="A64" s="13"/>
      <c r="B64" s="13"/>
      <c r="C64" s="14"/>
      <c r="D64" s="14"/>
      <c r="E64" s="16"/>
      <c r="F64" s="15"/>
      <c r="G64" s="13"/>
      <c r="H64" s="13"/>
    </row>
    <row r="65" spans="1:8" customFormat="1" ht="31.5">
      <c r="A65" s="13"/>
      <c r="B65" s="13"/>
      <c r="C65" s="14" t="s">
        <v>43</v>
      </c>
      <c r="D65" s="14"/>
      <c r="E65" s="16" t="s">
        <v>44</v>
      </c>
      <c r="F65" s="15"/>
      <c r="G65" s="13"/>
      <c r="H65" s="13"/>
    </row>
    <row r="66" spans="1:8" customFormat="1">
      <c r="A66" s="13"/>
      <c r="B66" s="13"/>
      <c r="C66" s="14"/>
      <c r="D66" s="14"/>
      <c r="E66" s="16" t="s">
        <v>45</v>
      </c>
      <c r="F66" s="15"/>
      <c r="G66" s="13"/>
      <c r="H66" s="13"/>
    </row>
    <row r="67" spans="1:8" customFormat="1">
      <c r="A67" s="13"/>
      <c r="B67" s="13"/>
      <c r="C67" s="14"/>
      <c r="D67" s="14"/>
      <c r="E67" s="16"/>
      <c r="F67" s="15"/>
      <c r="G67" s="13"/>
      <c r="H67" s="13"/>
    </row>
    <row r="68" spans="1:8" customFormat="1">
      <c r="A68" s="13"/>
      <c r="B68" s="13"/>
      <c r="C68" s="53" t="s">
        <v>44</v>
      </c>
      <c r="D68" s="53"/>
      <c r="E68" s="16"/>
      <c r="F68" s="15"/>
      <c r="G68" s="13"/>
      <c r="H68" s="13"/>
    </row>
    <row r="69" spans="1:8" customFormat="1">
      <c r="A69" s="13"/>
      <c r="B69" s="13"/>
      <c r="C69" s="53"/>
      <c r="D69" s="53"/>
      <c r="E69" s="16"/>
      <c r="F69" s="15"/>
      <c r="G69" s="13"/>
      <c r="H69" s="13"/>
    </row>
    <row r="70" spans="1:8" customFormat="1">
      <c r="A70" s="13"/>
      <c r="B70" s="13"/>
      <c r="C70" s="14" t="s">
        <v>46</v>
      </c>
      <c r="D70" s="14"/>
      <c r="E70" s="25"/>
      <c r="F70" s="15"/>
      <c r="G70" s="13"/>
      <c r="H70" s="13"/>
    </row>
    <row r="71" spans="1:8" customFormat="1">
      <c r="A71" s="13"/>
      <c r="B71" s="13"/>
      <c r="C71" s="14"/>
      <c r="D71" s="14"/>
      <c r="E71" s="16"/>
      <c r="F71" s="15"/>
      <c r="G71" s="13"/>
      <c r="H71" s="13"/>
    </row>
    <row r="72" spans="1:8" customFormat="1">
      <c r="A72" s="13"/>
      <c r="B72" s="13"/>
      <c r="C72" s="14" t="s">
        <v>47</v>
      </c>
      <c r="D72" s="14"/>
      <c r="E72" s="26"/>
      <c r="F72" s="15"/>
      <c r="G72" s="13"/>
      <c r="H72" s="13"/>
    </row>
    <row r="73" spans="1:8" customFormat="1">
      <c r="A73" s="13"/>
      <c r="B73" s="13"/>
      <c r="C73" s="14"/>
      <c r="D73" s="14"/>
      <c r="E73" s="16"/>
      <c r="F73" s="15"/>
      <c r="G73" s="13"/>
      <c r="H73" s="13"/>
    </row>
    <row r="74" spans="1:8" customFormat="1">
      <c r="A74" s="13"/>
      <c r="B74" s="13"/>
      <c r="C74" s="14"/>
      <c r="D74" s="14"/>
      <c r="E74" s="16"/>
      <c r="F74" s="15"/>
      <c r="G74" s="13"/>
      <c r="H74" s="13"/>
    </row>
    <row r="75" spans="1:8" customFormat="1">
      <c r="A75" s="13"/>
      <c r="B75" s="13"/>
      <c r="C75" s="53" t="s">
        <v>48</v>
      </c>
      <c r="D75" s="53"/>
      <c r="E75" s="16"/>
      <c r="F75" s="15"/>
      <c r="G75" s="13"/>
    </row>
    <row r="76" spans="1:8" customFormat="1">
      <c r="A76" s="13"/>
      <c r="B76" s="13"/>
      <c r="C76" s="53"/>
      <c r="D76" s="53"/>
      <c r="E76" s="16"/>
      <c r="F76" s="15"/>
      <c r="G76" s="13"/>
    </row>
    <row r="77" spans="1:8" customFormat="1">
      <c r="A77" s="13"/>
      <c r="B77" s="13"/>
      <c r="C77" s="14" t="s">
        <v>49</v>
      </c>
      <c r="D77" s="14"/>
      <c r="E77" s="27"/>
      <c r="F77" s="15"/>
      <c r="G77" s="13"/>
    </row>
    <row r="78" spans="1:8" customFormat="1">
      <c r="A78" s="13"/>
      <c r="B78" s="13"/>
      <c r="C78" s="14"/>
      <c r="D78" s="14"/>
      <c r="E78" s="55"/>
      <c r="F78" s="15"/>
      <c r="G78" s="13"/>
    </row>
    <row r="79" spans="1:8" customFormat="1" ht="31.5">
      <c r="A79" s="13"/>
      <c r="B79" s="13"/>
      <c r="C79" s="14" t="s">
        <v>50</v>
      </c>
      <c r="D79" s="14"/>
      <c r="E79" s="27"/>
      <c r="F79" s="15"/>
      <c r="G79" s="13"/>
    </row>
    <row r="80" spans="1:8" customFormat="1">
      <c r="A80" s="13"/>
      <c r="B80" s="13"/>
      <c r="C80" s="14"/>
      <c r="D80" s="14"/>
      <c r="E80" s="55"/>
      <c r="F80" s="15"/>
      <c r="G80" s="13"/>
    </row>
    <row r="81" spans="1:7" customFormat="1">
      <c r="A81" s="13"/>
      <c r="B81" s="13"/>
      <c r="C81" s="14" t="s">
        <v>51</v>
      </c>
      <c r="D81" s="14"/>
      <c r="E81" s="26"/>
      <c r="F81" s="15"/>
      <c r="G81" s="13"/>
    </row>
    <row r="82" spans="1:7" customFormat="1">
      <c r="A82" s="13"/>
      <c r="B82" s="13"/>
      <c r="C82" s="14"/>
      <c r="D82" s="14"/>
      <c r="E82" s="16"/>
      <c r="F82" s="15"/>
      <c r="G82" s="13"/>
    </row>
    <row r="83" spans="1:7" customFormat="1">
      <c r="A83" s="13"/>
      <c r="B83" s="13"/>
      <c r="C83" s="14" t="s">
        <v>52</v>
      </c>
      <c r="D83" s="14"/>
      <c r="E83" s="26"/>
      <c r="F83" s="15"/>
      <c r="G83" s="13"/>
    </row>
    <row r="84" spans="1:7"/>
    <row r="85" spans="1:7" ht="31.5">
      <c r="C85" s="14" t="s">
        <v>53</v>
      </c>
      <c r="E85" s="27"/>
    </row>
    <row r="86" spans="1:7"/>
    <row r="87" spans="1:7"/>
    <row r="88" spans="1:7"/>
    <row r="89" spans="1:7"/>
    <row r="90" spans="1:7"/>
    <row r="91" spans="1:7"/>
    <row r="92" spans="1:7"/>
  </sheetData>
  <mergeCells count="11">
    <mergeCell ref="C36:F36"/>
    <mergeCell ref="C63:F63"/>
    <mergeCell ref="C62:E62"/>
    <mergeCell ref="C5:E5"/>
    <mergeCell ref="C3:F3"/>
    <mergeCell ref="C4:F4"/>
    <mergeCell ref="C27:F27"/>
    <mergeCell ref="C26:E26"/>
    <mergeCell ref="C35:E35"/>
    <mergeCell ref="C8:E8"/>
    <mergeCell ref="C10:E10"/>
  </mergeCells>
  <dataValidations count="1">
    <dataValidation type="list" allowBlank="1" showInputMessage="1" showErrorMessage="1" sqref="E41 E68:E69" xr:uid="{46FDDDCE-06AA-489E-B724-C284BC73E089}">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Check Box 2">
              <controlPr defaultSize="0" autoFill="0" autoLine="0" autoPict="0">
                <anchor moveWithCells="1">
                  <from>
                    <xdr:col>3</xdr:col>
                    <xdr:colOff>1304925</xdr:colOff>
                    <xdr:row>37</xdr:row>
                    <xdr:rowOff>219075</xdr:rowOff>
                  </from>
                  <to>
                    <xdr:col>4</xdr:col>
                    <xdr:colOff>476250</xdr:colOff>
                    <xdr:row>38</xdr:row>
                    <xdr:rowOff>38100</xdr:rowOff>
                  </to>
                </anchor>
              </controlPr>
            </control>
          </mc:Choice>
        </mc:AlternateContent>
        <mc:AlternateContent xmlns:mc="http://schemas.openxmlformats.org/markup-compatibility/2006">
          <mc:Choice Requires="x14">
            <control shapeId="2051" r:id="rId5" name="Check Box 3">
              <controlPr defaultSize="0" autoFill="0" autoLine="0" autoPict="0">
                <anchor moveWithCells="1">
                  <from>
                    <xdr:col>3</xdr:col>
                    <xdr:colOff>1304925</xdr:colOff>
                    <xdr:row>38</xdr:row>
                    <xdr:rowOff>9525</xdr:rowOff>
                  </from>
                  <to>
                    <xdr:col>4</xdr:col>
                    <xdr:colOff>485775</xdr:colOff>
                    <xdr:row>39</xdr:row>
                    <xdr:rowOff>28575</xdr:rowOff>
                  </to>
                </anchor>
              </controlPr>
            </control>
          </mc:Choice>
        </mc:AlternateContent>
        <mc:AlternateContent xmlns:mc="http://schemas.openxmlformats.org/markup-compatibility/2006">
          <mc:Choice Requires="x14">
            <control shapeId="2052" r:id="rId6" name="Check Box 4">
              <controlPr defaultSize="0" autoFill="0" autoLine="0" autoPict="0">
                <anchor moveWithCells="1">
                  <from>
                    <xdr:col>3</xdr:col>
                    <xdr:colOff>1304925</xdr:colOff>
                    <xdr:row>39</xdr:row>
                    <xdr:rowOff>0</xdr:rowOff>
                  </from>
                  <to>
                    <xdr:col>4</xdr:col>
                    <xdr:colOff>485775</xdr:colOff>
                    <xdr:row>40</xdr:row>
                    <xdr:rowOff>19050</xdr:rowOff>
                  </to>
                </anchor>
              </controlPr>
            </control>
          </mc:Choice>
        </mc:AlternateContent>
        <mc:AlternateContent xmlns:mc="http://schemas.openxmlformats.org/markup-compatibility/2006">
          <mc:Choice Requires="x14">
            <control shapeId="2057" r:id="rId7" name="Check Box 9">
              <controlPr defaultSize="0" autoFill="0" autoLine="0" autoPict="0">
                <anchor moveWithCells="1">
                  <from>
                    <xdr:col>3</xdr:col>
                    <xdr:colOff>1276350</xdr:colOff>
                    <xdr:row>64</xdr:row>
                    <xdr:rowOff>200025</xdr:rowOff>
                  </from>
                  <to>
                    <xdr:col>4</xdr:col>
                    <xdr:colOff>447675</xdr:colOff>
                    <xdr:row>65</xdr:row>
                    <xdr:rowOff>9525</xdr:rowOff>
                  </to>
                </anchor>
              </controlPr>
            </control>
          </mc:Choice>
        </mc:AlternateContent>
        <mc:AlternateContent xmlns:mc="http://schemas.openxmlformats.org/markup-compatibility/2006">
          <mc:Choice Requires="x14">
            <control shapeId="2058" r:id="rId8" name="Check Box 10">
              <controlPr defaultSize="0" autoFill="0" autoLine="0" autoPict="0">
                <anchor moveWithCells="1">
                  <from>
                    <xdr:col>3</xdr:col>
                    <xdr:colOff>1285875</xdr:colOff>
                    <xdr:row>65</xdr:row>
                    <xdr:rowOff>9525</xdr:rowOff>
                  </from>
                  <to>
                    <xdr:col>4</xdr:col>
                    <xdr:colOff>514350</xdr:colOff>
                    <xdr:row>66</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6FC01-52BD-4E76-85CD-50A3E39BA38B}">
  <sheetPr codeName="Sheet3"/>
  <dimension ref="C1:H32"/>
  <sheetViews>
    <sheetView tabSelected="1" zoomScale="130" zoomScaleNormal="130" workbookViewId="0">
      <selection activeCell="E16" sqref="E16"/>
    </sheetView>
  </sheetViews>
  <sheetFormatPr defaultColWidth="3.28515625" defaultRowHeight="15.75" zeroHeight="1"/>
  <cols>
    <col min="1" max="1" width="4.140625" style="13" customWidth="1"/>
    <col min="2" max="2" width="4.42578125" style="13" customWidth="1"/>
    <col min="3" max="3" width="56.140625" style="14" customWidth="1"/>
    <col min="4" max="4" width="23.5703125" style="14" customWidth="1"/>
    <col min="5" max="5" width="29.85546875" style="16" customWidth="1"/>
    <col min="6" max="6" width="9.5703125" style="13" customWidth="1"/>
    <col min="7" max="7" width="8.7109375" style="13" customWidth="1"/>
    <col min="8" max="8" width="9.85546875" style="13" hidden="1" customWidth="1"/>
    <col min="9" max="16372" width="0" style="13" hidden="1" customWidth="1"/>
    <col min="16373" max="16373" width="3" style="13" customWidth="1"/>
    <col min="16374" max="16374" width="1.5703125" style="13" customWidth="1"/>
    <col min="16375" max="16375" width="2.42578125" style="13" customWidth="1"/>
    <col min="16376" max="16376" width="2.7109375" style="13" customWidth="1"/>
    <col min="16377" max="16377" width="3" style="13" customWidth="1"/>
    <col min="16378" max="16378" width="3.7109375" style="13" customWidth="1"/>
    <col min="16379" max="16379" width="4.140625" style="13" customWidth="1"/>
    <col min="16380" max="16380" width="3.28515625" style="13" customWidth="1"/>
    <col min="16381" max="16382" width="5.42578125" style="13" customWidth="1"/>
    <col min="16383" max="16383" width="6" style="13" customWidth="1"/>
    <col min="16384" max="16384" width="5.140625" style="13" customWidth="1"/>
  </cols>
  <sheetData>
    <row r="1" spans="3:7"/>
    <row r="2" spans="3:7"/>
    <row r="3" spans="3:7" ht="23.25">
      <c r="C3" s="276" t="s">
        <v>0</v>
      </c>
      <c r="D3" s="276"/>
      <c r="E3" s="276"/>
      <c r="F3" s="276"/>
      <c r="G3" s="56"/>
    </row>
    <row r="4" spans="3:7" ht="23.25">
      <c r="C4" s="276" t="s">
        <v>54</v>
      </c>
      <c r="D4" s="276"/>
      <c r="E4" s="276"/>
      <c r="F4" s="276"/>
      <c r="G4" s="56"/>
    </row>
    <row r="5" spans="3:7" ht="18.75">
      <c r="C5" s="50"/>
      <c r="D5" s="50"/>
      <c r="E5" s="50"/>
      <c r="F5" s="57"/>
      <c r="G5" s="57"/>
    </row>
    <row r="6" spans="3:7" ht="7.5" customHeight="1">
      <c r="C6" s="46"/>
      <c r="D6" s="46"/>
      <c r="E6" s="46"/>
      <c r="F6" s="57"/>
      <c r="G6" s="46"/>
    </row>
    <row r="7" spans="3:7" ht="12" customHeight="1">
      <c r="C7" s="46"/>
      <c r="D7" s="46"/>
      <c r="E7" s="46"/>
      <c r="F7" s="57"/>
      <c r="G7" s="46"/>
    </row>
    <row r="8" spans="3:7" ht="15.6" customHeight="1">
      <c r="C8" s="282" t="s">
        <v>55</v>
      </c>
      <c r="D8" s="282"/>
      <c r="E8" s="282"/>
      <c r="F8" s="57"/>
      <c r="G8" s="59"/>
    </row>
    <row r="9" spans="3:7" ht="12.6" customHeight="1">
      <c r="C9" s="61"/>
      <c r="D9" s="61"/>
      <c r="E9" s="61"/>
      <c r="F9" s="57"/>
      <c r="G9" s="59"/>
    </row>
    <row r="10" spans="3:7" ht="18.600000000000001" customHeight="1">
      <c r="C10" s="281" t="s">
        <v>56</v>
      </c>
      <c r="D10" s="281"/>
      <c r="E10" s="281"/>
      <c r="F10" s="57"/>
      <c r="G10" s="60"/>
    </row>
    <row r="11" spans="3:7" ht="18.75">
      <c r="C11" s="125"/>
      <c r="D11" s="125"/>
      <c r="E11" s="125"/>
      <c r="F11" s="57"/>
      <c r="G11" s="60"/>
    </row>
    <row r="12" spans="3:7" ht="21.6" customHeight="1">
      <c r="C12" s="14" t="s">
        <v>17</v>
      </c>
      <c r="E12" s="131" t="str">
        <f>application_name</f>
        <v xml:space="preserve">  </v>
      </c>
      <c r="F12" s="57"/>
    </row>
    <row r="13" spans="3:7" ht="21.6" customHeight="1">
      <c r="E13" s="130"/>
      <c r="F13" s="57"/>
    </row>
    <row r="14" spans="3:7" ht="32.25">
      <c r="C14" s="14" t="s">
        <v>57</v>
      </c>
      <c r="E14" s="25"/>
      <c r="F14" s="57"/>
    </row>
    <row r="15" spans="3:7" ht="18.75">
      <c r="F15" s="57"/>
    </row>
    <row r="16" spans="3:7" ht="32.25">
      <c r="C16" s="14" t="s">
        <v>58</v>
      </c>
      <c r="E16" s="87"/>
      <c r="F16" s="57"/>
    </row>
    <row r="17" spans="3:6" ht="18.75">
      <c r="F17" s="57"/>
    </row>
    <row r="18" spans="3:6" ht="32.25">
      <c r="C18" s="14" t="s">
        <v>59</v>
      </c>
      <c r="E18" s="25"/>
      <c r="F18" s="57"/>
    </row>
    <row r="19" spans="3:6" ht="18.75">
      <c r="F19" s="57"/>
    </row>
    <row r="20" spans="3:6" ht="32.25">
      <c r="C20" s="14" t="s">
        <v>60</v>
      </c>
      <c r="E20" s="87"/>
      <c r="F20" s="57"/>
    </row>
    <row r="21" spans="3:6" ht="18.75">
      <c r="F21" s="57"/>
    </row>
    <row r="22" spans="3:6" ht="31.5">
      <c r="C22" s="14" t="s">
        <v>61</v>
      </c>
      <c r="E22" s="258"/>
    </row>
    <row r="23" spans="3:6"/>
    <row r="24" spans="3:6" ht="31.5">
      <c r="C24" s="14" t="s">
        <v>62</v>
      </c>
      <c r="E24" s="25"/>
    </row>
    <row r="25" spans="3:6"/>
    <row r="26" spans="3:6"/>
    <row r="27" spans="3:6"/>
    <row r="28" spans="3:6"/>
    <row r="29" spans="3:6"/>
    <row r="30" spans="3:6"/>
    <row r="31" spans="3:6"/>
    <row r="32" spans="3:6"/>
  </sheetData>
  <mergeCells count="4">
    <mergeCell ref="C3:F3"/>
    <mergeCell ref="C4:F4"/>
    <mergeCell ref="C8:E8"/>
    <mergeCell ref="C10:E10"/>
  </mergeCells>
  <dataValidations count="2">
    <dataValidation allowBlank="1" showInputMessage="1" showErrorMessage="1" promptTitle="%" prompt="This question is in %" sqref="C20" xr:uid="{35E5E1F9-A006-4F72-AF9A-069E80945DE1}"/>
    <dataValidation allowBlank="1" showInputMessage="1" showErrorMessage="1" promptTitle="$" prompt="This question is in monetary terms" sqref="C22" xr:uid="{E9122AB2-D4B2-4413-904D-E7BF69C4821F}"/>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EBC79-E8AF-4D8E-8464-2D91AD290EDF}">
  <sheetPr codeName="Sheet4"/>
  <dimension ref="A1:O232"/>
  <sheetViews>
    <sheetView topLeftCell="A80" zoomScale="130" zoomScaleNormal="130" zoomScaleSheetLayoutView="90" workbookViewId="0">
      <selection activeCell="I91" sqref="I91:I106"/>
    </sheetView>
  </sheetViews>
  <sheetFormatPr defaultColWidth="0" defaultRowHeight="15.75"/>
  <cols>
    <col min="1" max="1" width="4.7109375" style="13" customWidth="1"/>
    <col min="2" max="2" width="4.140625" style="13" customWidth="1"/>
    <col min="3" max="3" width="76.5703125" style="16" customWidth="1"/>
    <col min="4" max="4" width="2.42578125" style="13" hidden="1" customWidth="1"/>
    <col min="5" max="5" width="30" style="13" customWidth="1"/>
    <col min="6" max="6" width="31" style="13" customWidth="1"/>
    <col min="7" max="7" width="25.42578125" style="13" customWidth="1"/>
    <col min="8" max="8" width="20.42578125" style="13" bestFit="1" customWidth="1"/>
    <col min="9" max="9" width="9.85546875" style="13" customWidth="1"/>
    <col min="10" max="10" width="4" hidden="1" customWidth="1"/>
    <col min="11" max="11" width="37.42578125" hidden="1" customWidth="1"/>
    <col min="12" max="12" width="27.42578125" hidden="1" customWidth="1"/>
    <col min="13" max="15" width="18.5703125" hidden="1" customWidth="1"/>
    <col min="16" max="16384" width="8.7109375" hidden="1"/>
  </cols>
  <sheetData>
    <row r="1" spans="3:8" s="13" customFormat="1">
      <c r="C1" s="16"/>
    </row>
    <row r="2" spans="3:8" s="13" customFormat="1">
      <c r="C2" s="16"/>
    </row>
    <row r="3" spans="3:8" ht="23.25">
      <c r="C3" s="276" t="s">
        <v>0</v>
      </c>
      <c r="D3" s="276"/>
      <c r="E3" s="276"/>
      <c r="F3" s="276"/>
      <c r="G3" s="276"/>
      <c r="H3" s="276"/>
    </row>
    <row r="4" spans="3:8" ht="23.25">
      <c r="C4" s="276" t="s">
        <v>63</v>
      </c>
      <c r="D4" s="276"/>
      <c r="E4" s="276"/>
      <c r="F4" s="276"/>
      <c r="G4" s="276"/>
      <c r="H4" s="276"/>
    </row>
    <row r="5" spans="3:8" ht="18.75">
      <c r="C5" s="50"/>
      <c r="D5" s="50"/>
      <c r="E5" s="50"/>
      <c r="F5" s="50"/>
      <c r="G5" s="58"/>
      <c r="H5" s="58"/>
    </row>
    <row r="6" spans="3:8" s="13" customFormat="1" ht="15.6" customHeight="1">
      <c r="C6" s="44"/>
    </row>
    <row r="7" spans="3:8" s="13" customFormat="1" ht="15.6" customHeight="1">
      <c r="C7" s="44"/>
    </row>
    <row r="8" spans="3:8" s="13" customFormat="1" ht="15.6" customHeight="1">
      <c r="C8" s="174" t="s">
        <v>17</v>
      </c>
      <c r="D8" s="174"/>
      <c r="E8" s="175" t="str">
        <f>application_name</f>
        <v xml:space="preserve">  </v>
      </c>
    </row>
    <row r="9" spans="3:8" s="13" customFormat="1" ht="15.6" customHeight="1">
      <c r="C9" s="44"/>
    </row>
    <row r="10" spans="3:8" s="13" customFormat="1" ht="15.6" customHeight="1">
      <c r="C10" s="44"/>
    </row>
    <row r="11" spans="3:8" ht="18.95" customHeight="1">
      <c r="C11" s="63" t="s">
        <v>64</v>
      </c>
      <c r="D11" s="62"/>
      <c r="E11" s="173">
        <f ca="1">TODAY()</f>
        <v>46125</v>
      </c>
      <c r="G11" s="187">
        <f ca="1">current_date+365</f>
        <v>46490</v>
      </c>
      <c r="H11" s="187">
        <f ca="1">G11+365</f>
        <v>46855</v>
      </c>
    </row>
    <row r="12" spans="3:8" ht="15">
      <c r="C12" s="63" t="s">
        <v>65</v>
      </c>
      <c r="D12" s="62"/>
      <c r="E12" s="64">
        <f>Business_Cost!E16</f>
        <v>0</v>
      </c>
      <c r="F12" s="65"/>
    </row>
    <row r="13" spans="3:8" ht="15">
      <c r="C13" s="63" t="s">
        <v>66</v>
      </c>
      <c r="D13" s="62"/>
      <c r="E13" s="62">
        <v>30</v>
      </c>
      <c r="F13" s="65"/>
    </row>
    <row r="14" spans="3:8" ht="15">
      <c r="C14" s="63" t="s">
        <v>67</v>
      </c>
      <c r="D14" s="62"/>
      <c r="E14" s="62">
        <v>12</v>
      </c>
      <c r="F14" s="65"/>
    </row>
    <row r="15" spans="3:8" ht="15">
      <c r="C15" s="63" t="s">
        <v>68</v>
      </c>
      <c r="D15" s="62"/>
      <c r="E15" s="66">
        <f>(total_cloud_cost_1_year/months_of_year)*E18</f>
        <v>0</v>
      </c>
    </row>
    <row r="16" spans="3:8" ht="15">
      <c r="C16" s="63"/>
      <c r="D16" s="62"/>
      <c r="E16" s="64"/>
      <c r="F16" s="65"/>
    </row>
    <row r="17" spans="3:7" ht="15">
      <c r="C17" s="13"/>
      <c r="F17" s="65"/>
    </row>
    <row r="18" spans="3:7">
      <c r="C18" s="16" t="s">
        <v>69</v>
      </c>
      <c r="D18" s="266">
        <v>3</v>
      </c>
      <c r="E18" s="266">
        <v>3</v>
      </c>
      <c r="F18" s="65"/>
    </row>
    <row r="19" spans="3:7">
      <c r="D19" s="148"/>
      <c r="E19" s="260"/>
      <c r="F19" s="65"/>
    </row>
    <row r="20" spans="3:7" ht="23.25">
      <c r="C20" s="283" t="s">
        <v>70</v>
      </c>
      <c r="D20" s="283"/>
      <c r="E20" s="283"/>
      <c r="F20" s="283"/>
      <c r="G20" s="283"/>
    </row>
    <row r="21" spans="3:7" ht="15">
      <c r="C21" s="13"/>
      <c r="F21" s="65"/>
    </row>
    <row r="22" spans="3:7" ht="18.75">
      <c r="C22" s="265" t="s">
        <v>71</v>
      </c>
      <c r="F22" s="65"/>
    </row>
    <row r="23" spans="3:7" ht="15">
      <c r="C23" s="13"/>
    </row>
    <row r="24" spans="3:7" ht="14.1" customHeight="1">
      <c r="C24" s="16" t="s">
        <v>72</v>
      </c>
      <c r="D24" s="259"/>
      <c r="E24" s="263"/>
      <c r="F24" s="65"/>
    </row>
    <row r="25" spans="3:7" ht="14.1" customHeight="1">
      <c r="D25" s="259"/>
      <c r="E25" s="260"/>
      <c r="F25" s="65"/>
    </row>
    <row r="26" spans="3:7">
      <c r="C26" s="16" t="s">
        <v>73</v>
      </c>
      <c r="D26" s="259"/>
      <c r="E26" s="263"/>
      <c r="F26" s="65"/>
    </row>
    <row r="27" spans="3:7">
      <c r="F27" s="65"/>
    </row>
    <row r="28" spans="3:7" ht="15">
      <c r="C28" s="13"/>
      <c r="F28" s="65"/>
    </row>
    <row r="29" spans="3:7">
      <c r="C29" s="79"/>
      <c r="F29" s="65"/>
    </row>
    <row r="30" spans="3:7" ht="18.75">
      <c r="C30" s="265" t="s">
        <v>74</v>
      </c>
      <c r="F30" s="65"/>
    </row>
    <row r="31" spans="3:7">
      <c r="C31" s="79"/>
      <c r="F31" s="65"/>
    </row>
    <row r="32" spans="3:7">
      <c r="C32" s="16" t="s">
        <v>75</v>
      </c>
      <c r="E32" s="196">
        <v>0.3</v>
      </c>
      <c r="F32" s="65"/>
    </row>
    <row r="33" spans="3:6">
      <c r="E33" s="194"/>
      <c r="F33" s="65"/>
    </row>
    <row r="34" spans="3:6" ht="15.6" customHeight="1">
      <c r="C34" s="16" t="s">
        <v>76</v>
      </c>
      <c r="E34" s="197"/>
    </row>
    <row r="35" spans="3:6" ht="15.6" customHeight="1">
      <c r="E35" s="163"/>
    </row>
    <row r="36" spans="3:6" s="13" customFormat="1" ht="15.6" customHeight="1">
      <c r="C36" s="16" t="s">
        <v>77</v>
      </c>
      <c r="E36" s="198"/>
    </row>
    <row r="37" spans="3:6" s="13" customFormat="1" ht="15.6" customHeight="1">
      <c r="C37" s="16"/>
      <c r="E37" s="80"/>
    </row>
    <row r="38" spans="3:6" s="13" customFormat="1" ht="15.6" customHeight="1">
      <c r="C38" s="16" t="s">
        <v>78</v>
      </c>
      <c r="E38" s="204"/>
    </row>
    <row r="39" spans="3:6" s="13" customFormat="1" ht="15.6" customHeight="1">
      <c r="C39" s="16"/>
      <c r="E39" s="80"/>
    </row>
    <row r="40" spans="3:6" s="13" customFormat="1" ht="15.6" customHeight="1">
      <c r="C40" s="16" t="s">
        <v>79</v>
      </c>
      <c r="E40" s="264"/>
    </row>
    <row r="41" spans="3:6" s="13" customFormat="1" ht="15.6" customHeight="1">
      <c r="C41" s="16"/>
      <c r="E41" s="194"/>
    </row>
    <row r="42" spans="3:6" s="13" customFormat="1" ht="15.6" customHeight="1">
      <c r="C42" s="16" t="s">
        <v>80</v>
      </c>
      <c r="E42" s="262"/>
    </row>
    <row r="43" spans="3:6" s="13" customFormat="1" ht="15.6" customHeight="1">
      <c r="C43" s="16"/>
      <c r="E43" s="195"/>
    </row>
    <row r="44" spans="3:6" s="13" customFormat="1" ht="15.6" customHeight="1">
      <c r="C44" s="16" t="s">
        <v>81</v>
      </c>
      <c r="E44" s="262"/>
    </row>
    <row r="45" spans="3:6" s="13" customFormat="1" ht="15.6" customHeight="1">
      <c r="C45" s="16"/>
      <c r="E45" s="261"/>
    </row>
    <row r="46" spans="3:6" s="13" customFormat="1" ht="15.6" customHeight="1">
      <c r="C46" s="16"/>
    </row>
    <row r="47" spans="3:6" s="13" customFormat="1" ht="15.6" customHeight="1">
      <c r="C47" s="16"/>
    </row>
    <row r="48" spans="3:6" s="13" customFormat="1" ht="15.6" customHeight="1">
      <c r="C48" s="2"/>
    </row>
    <row r="49" spans="3:8" s="13" customFormat="1" ht="20.100000000000001" customHeight="1">
      <c r="C49" s="283" t="s">
        <v>82</v>
      </c>
      <c r="D49" s="283"/>
      <c r="E49" s="283"/>
      <c r="F49" s="283"/>
      <c r="G49" s="283"/>
    </row>
    <row r="50" spans="3:8" s="13" customFormat="1">
      <c r="C50" s="44"/>
    </row>
    <row r="51" spans="3:8" s="13" customFormat="1">
      <c r="C51" s="44"/>
    </row>
    <row r="52" spans="3:8" ht="15.6" customHeight="1">
      <c r="C52" s="208" t="s">
        <v>83</v>
      </c>
      <c r="D52" s="207" t="s">
        <v>84</v>
      </c>
      <c r="E52" s="206" t="s">
        <v>85</v>
      </c>
    </row>
    <row r="53" spans="3:8" ht="15.6" customHeight="1">
      <c r="C53" s="67" t="s">
        <v>86</v>
      </c>
      <c r="D53" s="68"/>
      <c r="E53" s="69"/>
    </row>
    <row r="54" spans="3:8" ht="15.95" customHeight="1">
      <c r="C54" s="2" t="s">
        <v>87</v>
      </c>
      <c r="D54" s="68" t="s">
        <v>88</v>
      </c>
      <c r="E54" s="69">
        <f>average_many_it_employees*average_hourly_cost_it_employee_monthly</f>
        <v>0</v>
      </c>
    </row>
    <row r="55" spans="3:8" ht="15.6" customHeight="1">
      <c r="C55" s="2" t="s">
        <v>89</v>
      </c>
      <c r="D55" s="68" t="s">
        <v>90</v>
      </c>
      <c r="E55" s="69">
        <f>it_salary_legacy_cost_monthly*months_of_year</f>
        <v>0</v>
      </c>
    </row>
    <row r="56" spans="3:8" ht="15" customHeight="1">
      <c r="C56" s="136" t="s">
        <v>91</v>
      </c>
      <c r="D56" s="137"/>
      <c r="E56" s="138"/>
    </row>
    <row r="57" spans="3:8" ht="17.100000000000001" customHeight="1">
      <c r="C57" s="16" t="s">
        <v>92</v>
      </c>
      <c r="D57" s="70" t="s">
        <v>93</v>
      </c>
      <c r="E57" s="80">
        <f>it_salary_legacy_cost_monthly*(1-it_operational_productivity)</f>
        <v>0</v>
      </c>
    </row>
    <row r="58" spans="3:8" ht="17.100000000000001" customHeight="1">
      <c r="C58" s="16" t="s">
        <v>94</v>
      </c>
      <c r="D58" s="70" t="s">
        <v>95</v>
      </c>
      <c r="E58" s="80">
        <f>E55*(1-E32)</f>
        <v>0</v>
      </c>
    </row>
    <row r="59" spans="3:8" ht="18" customHeight="1">
      <c r="C59" s="13"/>
    </row>
    <row r="61" spans="3:8" ht="16.5" customHeight="1">
      <c r="C61" s="283" t="s">
        <v>96</v>
      </c>
      <c r="D61" s="283"/>
      <c r="E61" s="283"/>
      <c r="F61" s="283"/>
      <c r="G61" s="283"/>
    </row>
    <row r="62" spans="3:8" ht="17.45" customHeight="1">
      <c r="C62" s="13"/>
    </row>
    <row r="64" spans="3:8">
      <c r="C64" s="209" t="s">
        <v>97</v>
      </c>
      <c r="D64" s="210" t="s">
        <v>84</v>
      </c>
      <c r="E64" s="211" t="s">
        <v>85</v>
      </c>
      <c r="F64" s="2"/>
      <c r="H64" s="85"/>
    </row>
    <row r="65" spans="3:8">
      <c r="C65" s="67" t="s">
        <v>86</v>
      </c>
      <c r="D65" s="68"/>
      <c r="E65" s="68"/>
      <c r="H65" s="85"/>
    </row>
    <row r="66" spans="3:8" ht="15">
      <c r="C66" s="13" t="s">
        <v>40</v>
      </c>
      <c r="D66" s="68"/>
      <c r="E66" s="71">
        <f>iaas_infrastructure_cost</f>
        <v>0</v>
      </c>
      <c r="H66" s="85"/>
    </row>
    <row r="67" spans="3:8" ht="15.95" customHeight="1">
      <c r="C67" s="13" t="s">
        <v>98</v>
      </c>
      <c r="D67" s="68" t="s">
        <v>37</v>
      </c>
      <c r="E67" s="71">
        <f>on_Premise_Invest</f>
        <v>0</v>
      </c>
      <c r="H67" s="85"/>
    </row>
    <row r="68" spans="3:8" ht="15" customHeight="1">
      <c r="C68" s="13" t="s">
        <v>99</v>
      </c>
      <c r="D68" s="68" t="s">
        <v>38</v>
      </c>
      <c r="E68" s="71">
        <f>On_Premise_operation</f>
        <v>0</v>
      </c>
      <c r="H68" s="85"/>
    </row>
    <row r="69" spans="3:8" ht="15">
      <c r="C69" s="13" t="s">
        <v>100</v>
      </c>
      <c r="D69" s="68"/>
      <c r="E69" s="71">
        <f>thrid_party_infrastructure_cost</f>
        <v>0</v>
      </c>
      <c r="H69" s="85"/>
    </row>
    <row r="70" spans="3:8" ht="14.1" customHeight="1">
      <c r="C70" s="132" t="s">
        <v>101</v>
      </c>
      <c r="D70" s="68"/>
      <c r="E70" s="71">
        <f>SUM(E66:E69)</f>
        <v>0</v>
      </c>
      <c r="H70" s="85"/>
    </row>
    <row r="71" spans="3:8" ht="14.1" customHeight="1">
      <c r="C71" s="139" t="s">
        <v>91</v>
      </c>
      <c r="D71" s="139"/>
      <c r="E71" s="139"/>
      <c r="H71" s="85"/>
    </row>
    <row r="72" spans="3:8" ht="14.1" customHeight="1">
      <c r="C72" s="13" t="s">
        <v>102</v>
      </c>
      <c r="D72" s="68" t="s">
        <v>103</v>
      </c>
      <c r="E72" s="159">
        <f>infrastructure_cloud_cost_1_year</f>
        <v>0</v>
      </c>
      <c r="H72" s="85"/>
    </row>
    <row r="73" spans="3:8" ht="14.1" customHeight="1">
      <c r="C73" s="13"/>
      <c r="H73" s="85"/>
    </row>
    <row r="74" spans="3:8" ht="14.1" customHeight="1">
      <c r="C74" s="13"/>
      <c r="D74" s="68"/>
      <c r="E74" s="159"/>
      <c r="H74" s="85"/>
    </row>
    <row r="75" spans="3:8" ht="19.5" customHeight="1">
      <c r="C75" s="283" t="s">
        <v>104</v>
      </c>
      <c r="D75" s="283"/>
      <c r="E75" s="283"/>
      <c r="F75" s="283"/>
      <c r="G75" s="283"/>
      <c r="H75" s="85"/>
    </row>
    <row r="76" spans="3:8" ht="14.1" customHeight="1">
      <c r="C76" s="13"/>
      <c r="D76" s="68"/>
      <c r="E76" s="159"/>
      <c r="H76" s="85"/>
    </row>
    <row r="77" spans="3:8" ht="15">
      <c r="C77" s="13"/>
      <c r="H77" s="85"/>
    </row>
    <row r="78" spans="3:8">
      <c r="C78" s="211" t="s">
        <v>105</v>
      </c>
      <c r="D78" s="212" t="s">
        <v>84</v>
      </c>
      <c r="E78" s="211" t="s">
        <v>85</v>
      </c>
      <c r="F78" s="211" t="s">
        <v>106</v>
      </c>
      <c r="G78" s="211" t="s">
        <v>107</v>
      </c>
      <c r="H78" s="85"/>
    </row>
    <row r="79" spans="3:8">
      <c r="C79" s="79" t="s">
        <v>86</v>
      </c>
      <c r="D79" s="68"/>
      <c r="E79" s="68"/>
      <c r="H79" s="85"/>
    </row>
    <row r="80" spans="3:8" ht="15" customHeight="1">
      <c r="C80" s="13" t="s">
        <v>44</v>
      </c>
      <c r="D80" s="68" t="s">
        <v>108</v>
      </c>
      <c r="E80" s="86">
        <f>subscription_value*how_often_pay_subscription_per_year</f>
        <v>0</v>
      </c>
      <c r="F80" s="101">
        <f>E80*(1+rate_of_inflation)</f>
        <v>0</v>
      </c>
      <c r="G80" s="101">
        <f>F80*(1+rate_of_inflation)</f>
        <v>0</v>
      </c>
      <c r="H80" s="85"/>
    </row>
    <row r="81" spans="3:8" ht="13.5" customHeight="1">
      <c r="C81" t="s">
        <v>48</v>
      </c>
      <c r="D81" s="68" t="s">
        <v>109</v>
      </c>
      <c r="E81" s="86">
        <f ca="1">IF(AND(date_license_expire&gt;current_date,date_next_license_purchase&lt;current_date ),(own_license_cost+support_cost),support_cost)</f>
        <v>0</v>
      </c>
      <c r="F81" s="188">
        <f ca="1">IF(AND(date_license_expire&gt;date_2_year,date_next_license_purchase&lt;date_2_year ),(own_license_cost+support_cost),support_cost)</f>
        <v>0</v>
      </c>
      <c r="G81" s="188">
        <f ca="1">IF(AND(date_license_expire&gt;date_3_year,date_next_license_purchase&lt;date_3_year ),(own_license_cost+support_cost),support_cost)</f>
        <v>0</v>
      </c>
      <c r="H81" s="85"/>
    </row>
    <row r="82" spans="3:8" ht="14.1" customHeight="1">
      <c r="C82" s="132" t="s">
        <v>110</v>
      </c>
      <c r="D82" s="68"/>
      <c r="E82" s="86">
        <f ca="1">SUM(E80:E81)</f>
        <v>0</v>
      </c>
      <c r="F82" s="86">
        <f t="shared" ref="F82:G82" ca="1" si="0">SUM(F80:F81)</f>
        <v>0</v>
      </c>
      <c r="G82" s="86">
        <f t="shared" ca="1" si="0"/>
        <v>0</v>
      </c>
      <c r="H82" s="85"/>
    </row>
    <row r="83" spans="3:8" ht="14.1" customHeight="1">
      <c r="C83" s="139" t="s">
        <v>91</v>
      </c>
      <c r="D83" s="139"/>
      <c r="E83" s="139"/>
      <c r="F83" s="139"/>
      <c r="G83" s="139"/>
      <c r="H83" s="85"/>
    </row>
    <row r="84" spans="3:8" ht="14.1" customHeight="1">
      <c r="C84" s="160" t="s">
        <v>111</v>
      </c>
      <c r="D84" s="161" t="s">
        <v>103</v>
      </c>
      <c r="E84" s="86">
        <f>cloud_licensing_costs_1_year</f>
        <v>0</v>
      </c>
      <c r="H84" s="85"/>
    </row>
    <row r="85" spans="3:8" ht="15">
      <c r="C85" s="13"/>
      <c r="H85" s="85"/>
    </row>
    <row r="86" spans="3:8" ht="15">
      <c r="C86" s="13"/>
      <c r="H86" s="85"/>
    </row>
    <row r="87" spans="3:8" ht="23.25">
      <c r="C87" s="283" t="s">
        <v>112</v>
      </c>
      <c r="D87" s="283"/>
      <c r="E87" s="283"/>
      <c r="F87" s="283"/>
      <c r="G87" s="283"/>
    </row>
    <row r="88" spans="3:8" ht="18" customHeight="1">
      <c r="C88" s="129"/>
      <c r="D88" s="129"/>
      <c r="E88" s="129"/>
      <c r="F88" s="129"/>
      <c r="G88" s="129"/>
    </row>
    <row r="89" spans="3:8" ht="17.45" customHeight="1">
      <c r="C89" s="190" t="s">
        <v>113</v>
      </c>
      <c r="D89" s="129"/>
      <c r="E89" s="129"/>
      <c r="F89" s="129"/>
      <c r="G89" s="129"/>
    </row>
    <row r="90" spans="3:8" ht="14.45" customHeight="1">
      <c r="C90" s="191" t="s">
        <v>114</v>
      </c>
      <c r="D90" s="129"/>
      <c r="E90" s="129"/>
      <c r="F90" s="129"/>
      <c r="G90" s="129"/>
    </row>
    <row r="91" spans="3:8" ht="14.1" customHeight="1">
      <c r="C91" s="191" t="s">
        <v>115</v>
      </c>
      <c r="D91" s="129"/>
      <c r="E91" s="129"/>
      <c r="F91" s="129"/>
      <c r="G91" s="129"/>
    </row>
    <row r="92" spans="3:8" ht="15.95" customHeight="1">
      <c r="C92" s="129"/>
      <c r="D92" s="72"/>
      <c r="E92" s="72"/>
    </row>
    <row r="93" spans="3:8">
      <c r="C93" s="206" t="s">
        <v>116</v>
      </c>
      <c r="D93" s="214" t="s">
        <v>84</v>
      </c>
      <c r="E93" s="215" t="s">
        <v>117</v>
      </c>
    </row>
    <row r="94" spans="3:8">
      <c r="C94" s="134" t="s">
        <v>86</v>
      </c>
      <c r="D94" s="4"/>
      <c r="E94" s="133"/>
    </row>
    <row r="95" spans="3:8" ht="18.600000000000001" customHeight="1">
      <c r="C95" s="7" t="s">
        <v>118</v>
      </c>
      <c r="D95" s="4" t="s">
        <v>119</v>
      </c>
      <c r="E95" s="156">
        <f>many_times_the_app_gets_slow_in_daily_minutes*(number_of_dead_seconds_per_minute/60)</f>
        <v>0</v>
      </c>
    </row>
    <row r="96" spans="3:8" ht="15.6" customHeight="1">
      <c r="C96" s="5" t="s">
        <v>120</v>
      </c>
      <c r="D96" s="4" t="s">
        <v>121</v>
      </c>
      <c r="E96" s="156">
        <f>E95+dead_time_due_to_normal_slowness_min_per_day_consultant</f>
        <v>0</v>
      </c>
    </row>
    <row r="97" spans="1:9" ht="16.5" customHeight="1">
      <c r="C97" s="157" t="s">
        <v>122</v>
      </c>
      <c r="D97" s="4" t="s">
        <v>123</v>
      </c>
      <c r="E97" s="69">
        <f>((number_people_use_the_application*E96)/60*average_hourly_cost_employee_use_application_USD)*days_of_the_month</f>
        <v>0</v>
      </c>
    </row>
    <row r="98" spans="1:9" ht="16.5" customHeight="1">
      <c r="C98" s="5" t="s">
        <v>124</v>
      </c>
      <c r="D98" s="24" t="s">
        <v>125</v>
      </c>
      <c r="E98" s="69">
        <f>average_many_it_employees*average_hourly_cost_employee_use_application_USD*(many_times_the_app_gets_shut_down_in_weekly/60)*4</f>
        <v>0</v>
      </c>
    </row>
    <row r="99" spans="1:9" ht="15" customHeight="1">
      <c r="C99" s="37" t="s">
        <v>126</v>
      </c>
      <c r="D99" s="17" t="s">
        <v>127</v>
      </c>
      <c r="E99" s="36">
        <f>SUM(E97:E98)</f>
        <v>0</v>
      </c>
    </row>
    <row r="100" spans="1:9" s="135" customFormat="1" ht="15" customHeight="1">
      <c r="A100" s="13"/>
      <c r="B100" s="13"/>
      <c r="C100" s="140" t="s">
        <v>91</v>
      </c>
      <c r="D100" s="141"/>
      <c r="E100" s="141"/>
      <c r="F100" s="13"/>
      <c r="G100" s="13"/>
      <c r="H100" s="13"/>
      <c r="I100" s="13"/>
    </row>
    <row r="101" spans="1:9">
      <c r="C101" s="253" t="s">
        <v>118</v>
      </c>
      <c r="D101" s="17"/>
      <c r="E101" s="13">
        <f>dead_time_due_to_severe_slowness_cloud_min_per_day</f>
        <v>0</v>
      </c>
    </row>
    <row r="102" spans="1:9">
      <c r="C102" s="254" t="s">
        <v>120</v>
      </c>
      <c r="D102" s="17"/>
      <c r="E102" s="13">
        <f>total_dead_time_cloud_min_per_day</f>
        <v>0</v>
      </c>
    </row>
    <row r="103" spans="1:9" ht="15.95" customHeight="1">
      <c r="C103" s="5" t="s">
        <v>122</v>
      </c>
      <c r="D103" s="17" t="s">
        <v>128</v>
      </c>
      <c r="E103" s="146">
        <f>E97*(1-it_operational_productivity)</f>
        <v>0</v>
      </c>
    </row>
    <row r="104" spans="1:9" ht="15.95" customHeight="1">
      <c r="C104" s="135" t="s">
        <v>124</v>
      </c>
      <c r="D104" s="17" t="s">
        <v>129</v>
      </c>
      <c r="E104" s="146">
        <f>E98*(1-cloud_availability_per_month)</f>
        <v>0</v>
      </c>
    </row>
    <row r="105" spans="1:9">
      <c r="C105" s="37" t="s">
        <v>130</v>
      </c>
      <c r="D105" s="17"/>
      <c r="E105" s="158">
        <f>SUM(E103:E104)</f>
        <v>0</v>
      </c>
    </row>
    <row r="106" spans="1:9">
      <c r="C106" s="79"/>
      <c r="D106" s="70"/>
    </row>
    <row r="108" spans="1:9" ht="23.25">
      <c r="C108" s="283" t="s">
        <v>131</v>
      </c>
      <c r="D108" s="283"/>
      <c r="E108" s="283"/>
      <c r="F108" s="283"/>
      <c r="G108" s="283"/>
    </row>
    <row r="110" spans="1:9" ht="14.45" customHeight="1">
      <c r="C110" s="28" t="s">
        <v>132</v>
      </c>
      <c r="D110" s="31" t="s">
        <v>84</v>
      </c>
      <c r="E110" s="28" t="s">
        <v>133</v>
      </c>
      <c r="F110" s="28" t="s">
        <v>134</v>
      </c>
      <c r="G110" s="29" t="s">
        <v>135</v>
      </c>
    </row>
    <row r="111" spans="1:9">
      <c r="C111" s="106" t="s">
        <v>136</v>
      </c>
      <c r="D111" s="100"/>
      <c r="E111" s="101">
        <f>E55</f>
        <v>0</v>
      </c>
      <c r="F111" s="101">
        <f>E111*(1+rate_of_inflation)</f>
        <v>0</v>
      </c>
      <c r="G111" s="101">
        <f>F111*(1+rate_of_inflation)</f>
        <v>0</v>
      </c>
    </row>
    <row r="112" spans="1:9" ht="15" customHeight="1">
      <c r="C112" s="106" t="s">
        <v>137</v>
      </c>
      <c r="D112" s="100" t="s">
        <v>138</v>
      </c>
      <c r="E112" s="101">
        <f>annual_repair_cost+annual_extra_support_cost</f>
        <v>0</v>
      </c>
      <c r="F112" s="101">
        <f>E112*(1+rate_of_inflation)</f>
        <v>0</v>
      </c>
      <c r="G112" s="101">
        <f>F112*(1+rate_of_inflation)</f>
        <v>0</v>
      </c>
    </row>
    <row r="113" spans="3:8">
      <c r="C113" s="106" t="s">
        <v>139</v>
      </c>
      <c r="D113" s="102"/>
      <c r="E113" s="101">
        <f>E70</f>
        <v>0</v>
      </c>
      <c r="F113" s="101">
        <f>(E113-on_Premise_Invest)*(1+rate_of_inflation)</f>
        <v>0</v>
      </c>
      <c r="G113" s="101">
        <f>F113*(1+rate_of_inflation)</f>
        <v>0</v>
      </c>
    </row>
    <row r="114" spans="3:8">
      <c r="C114" s="244" t="s">
        <v>140</v>
      </c>
      <c r="D114" s="102"/>
      <c r="E114" s="101">
        <f ca="1">E82</f>
        <v>0</v>
      </c>
      <c r="F114" s="101">
        <f t="shared" ref="F114:G114" ca="1" si="1">F82</f>
        <v>0</v>
      </c>
      <c r="G114" s="101">
        <f t="shared" ca="1" si="1"/>
        <v>0</v>
      </c>
      <c r="H114" s="242"/>
    </row>
    <row r="115" spans="3:8" ht="18.600000000000001" customHeight="1">
      <c r="C115" s="99" t="s">
        <v>141</v>
      </c>
      <c r="D115" s="100" t="s">
        <v>142</v>
      </c>
      <c r="E115" s="103">
        <f ca="1">SUM(E111:E114)</f>
        <v>0</v>
      </c>
      <c r="F115" s="103">
        <f ca="1">SUM(F111:F114)</f>
        <v>0</v>
      </c>
      <c r="G115" s="103">
        <f ca="1">SUM(G111:G114)</f>
        <v>0</v>
      </c>
    </row>
    <row r="116" spans="3:8">
      <c r="C116" s="107" t="s">
        <v>143</v>
      </c>
      <c r="D116" s="110"/>
      <c r="E116" s="111">
        <f ca="1">NPV(Business_Cost!$E$20,E115:G115)</f>
        <v>0</v>
      </c>
      <c r="F116" s="103"/>
      <c r="G116" s="103"/>
    </row>
    <row r="117" spans="3:8">
      <c r="C117" s="104" t="s">
        <v>112</v>
      </c>
      <c r="D117" s="105"/>
      <c r="E117" s="105"/>
      <c r="F117" s="105"/>
      <c r="G117" s="105"/>
    </row>
    <row r="118" spans="3:8">
      <c r="C118" s="106" t="s">
        <v>144</v>
      </c>
      <c r="D118" s="102"/>
      <c r="E118" s="101">
        <f>E97*months_of_year</f>
        <v>0</v>
      </c>
      <c r="F118" s="101">
        <f>Table_Summary_Legacy_Costs[[#This Row],[1 '[$']]]*(1+rate_of_inflation)</f>
        <v>0</v>
      </c>
      <c r="G118" s="101">
        <f>Table_Summary_Legacy_Costs[[#This Row],[2 '[$']]]*(1+rate_of_inflation)</f>
        <v>0</v>
      </c>
    </row>
    <row r="119" spans="3:8">
      <c r="C119" s="106" t="s">
        <v>145</v>
      </c>
      <c r="D119" s="102"/>
      <c r="E119" s="101">
        <f>E98*months_of_year</f>
        <v>0</v>
      </c>
      <c r="F119" s="101">
        <f>Table_Summary_Legacy_Costs[[#This Row],[1 '[$']]]*(1+rate_of_inflation)</f>
        <v>0</v>
      </c>
      <c r="G119" s="101">
        <f>Table_Summary_Legacy_Costs[[#This Row],[2 '[$']]]*(1+rate_of_inflation)</f>
        <v>0</v>
      </c>
    </row>
    <row r="120" spans="3:8">
      <c r="C120" s="99" t="s">
        <v>146</v>
      </c>
      <c r="D120" s="102"/>
      <c r="E120" s="101">
        <f>SUM(E118:E119)</f>
        <v>0</v>
      </c>
      <c r="F120" s="101">
        <f t="shared" ref="F120:G120" si="2">SUM(F118:F119)</f>
        <v>0</v>
      </c>
      <c r="G120" s="101">
        <f t="shared" si="2"/>
        <v>0</v>
      </c>
    </row>
    <row r="121" spans="3:8" ht="20.100000000000001" customHeight="1">
      <c r="C121" s="107" t="s">
        <v>147</v>
      </c>
      <c r="D121" s="108" t="s">
        <v>148</v>
      </c>
      <c r="E121" s="109">
        <f ca="1">SUM(E120+E115)</f>
        <v>0</v>
      </c>
      <c r="F121" s="109">
        <f ca="1">SUM(F120+F115)</f>
        <v>0</v>
      </c>
      <c r="G121" s="109">
        <f ca="1">SUM(G120+G115)</f>
        <v>0</v>
      </c>
    </row>
    <row r="122" spans="3:8" ht="14.1" customHeight="1">
      <c r="C122" s="13"/>
    </row>
    <row r="123" spans="3:8" ht="14.1" customHeight="1">
      <c r="C123" s="13"/>
    </row>
    <row r="124" spans="3:8" ht="20.100000000000001" customHeight="1">
      <c r="C124" s="283" t="s">
        <v>149</v>
      </c>
      <c r="D124" s="283"/>
      <c r="E124" s="283"/>
      <c r="F124" s="283"/>
      <c r="G124" s="283"/>
    </row>
    <row r="125" spans="3:8" ht="14.1" customHeight="1">
      <c r="C125" s="13"/>
    </row>
    <row r="126" spans="3:8">
      <c r="C126" s="28" t="s">
        <v>132</v>
      </c>
      <c r="D126" s="30" t="s">
        <v>84</v>
      </c>
      <c r="E126" s="28" t="s">
        <v>133</v>
      </c>
      <c r="F126" s="28" t="s">
        <v>134</v>
      </c>
      <c r="G126" s="88" t="s">
        <v>135</v>
      </c>
    </row>
    <row r="127" spans="3:8" ht="15.6" customHeight="1">
      <c r="C127" s="81" t="s">
        <v>136</v>
      </c>
      <c r="D127" s="6" t="s">
        <v>150</v>
      </c>
      <c r="E127" s="89">
        <f>it_salary_legacy_cost_1_year *(1-$E$32)</f>
        <v>0</v>
      </c>
      <c r="F127" s="80">
        <f>Table_Summary_Cloud_Costs[[#This Row],[1 '[$']]]*(1+rate_of_inflation)</f>
        <v>0</v>
      </c>
      <c r="G127" s="94">
        <f>Table_Summary_Cloud_Costs[[#This Row],[2 '[$']]]*(1+rate_of_inflation)</f>
        <v>0</v>
      </c>
    </row>
    <row r="128" spans="3:8" ht="16.5" customHeight="1">
      <c r="C128" s="81" t="s">
        <v>137</v>
      </c>
      <c r="D128" s="6" t="s">
        <v>151</v>
      </c>
      <c r="E128" s="89">
        <f>unexpected_legacy_cost_1_year *(1-$E$32)</f>
        <v>0</v>
      </c>
      <c r="F128" s="80">
        <f>Table_Summary_Cloud_Costs[[#This Row],[1 '[$']]]*(1+$E$12)</f>
        <v>0</v>
      </c>
      <c r="G128" s="95">
        <f>Table_Summary_Cloud_Costs[[#This Row],[2 '[$']]]*(1+rate_of_inflation)</f>
        <v>0</v>
      </c>
    </row>
    <row r="129" spans="3:7" ht="15" customHeight="1">
      <c r="C129" s="81" t="s">
        <v>97</v>
      </c>
      <c r="D129" s="6" t="s">
        <v>152</v>
      </c>
      <c r="E129" s="89">
        <f>infrastructure_cloud_cost_1_year</f>
        <v>0</v>
      </c>
      <c r="F129" s="80">
        <f>Table_Summary_Cloud_Costs[[#This Row],[1 '[$']]]*(1+rate_of_inflation)</f>
        <v>0</v>
      </c>
      <c r="G129" s="95">
        <f>Table_Summary_Cloud_Costs[[#This Row],[2 '[$']]]*(1+rate_of_inflation)</f>
        <v>0</v>
      </c>
    </row>
    <row r="130" spans="3:7" ht="15.6" customHeight="1">
      <c r="C130" s="245" t="s">
        <v>153</v>
      </c>
      <c r="D130" s="6" t="s">
        <v>154</v>
      </c>
      <c r="E130" s="89">
        <f>cloud_licensing_costs_1_year</f>
        <v>0</v>
      </c>
      <c r="F130" s="80">
        <f>Table_Summary_Cloud_Costs[[#This Row],[1 '[$']]]*(1+rate_of_inflation)</f>
        <v>0</v>
      </c>
      <c r="G130" s="95">
        <f>Table_Summary_Cloud_Costs[[#This Row],[2 '[$']]]*(1+rate_of_inflation)</f>
        <v>0</v>
      </c>
    </row>
    <row r="131" spans="3:7">
      <c r="C131" s="11" t="s">
        <v>155</v>
      </c>
      <c r="D131" s="6"/>
      <c r="E131" s="90">
        <f>SUM(E127:E130)</f>
        <v>0</v>
      </c>
      <c r="F131" s="92">
        <f>SUM(F127:F130)</f>
        <v>0</v>
      </c>
      <c r="G131" s="90">
        <f>SUM(G127:G130)</f>
        <v>0</v>
      </c>
    </row>
    <row r="132" spans="3:7">
      <c r="C132" s="107" t="s">
        <v>143</v>
      </c>
      <c r="D132" s="110"/>
      <c r="E132" s="162">
        <f>NPV(Business_Cost!$E$20,E131:G131)</f>
        <v>0</v>
      </c>
      <c r="F132" s="80"/>
      <c r="G132" s="95"/>
    </row>
    <row r="133" spans="3:7" ht="15" customHeight="1">
      <c r="C133" s="35" t="s">
        <v>156</v>
      </c>
      <c r="D133" s="6"/>
      <c r="E133" s="91"/>
      <c r="G133" s="96"/>
    </row>
    <row r="134" spans="3:7" ht="17.100000000000001" customHeight="1">
      <c r="C134" s="267" t="s">
        <v>144</v>
      </c>
      <c r="D134" s="6" t="s">
        <v>157</v>
      </c>
      <c r="E134" s="89">
        <f>E118*(1-it_operational_productivity)</f>
        <v>0</v>
      </c>
      <c r="F134" s="80">
        <f>Table_Summary_Cloud_Costs[[#This Row],[1 '[$']]]*(1+$E$12)</f>
        <v>0</v>
      </c>
      <c r="G134" s="95">
        <f>Table_Summary_Cloud_Costs[[#This Row],[2 '[$']]]*(1+rate_of_inflation)</f>
        <v>0</v>
      </c>
    </row>
    <row r="135" spans="3:7" ht="12.95" customHeight="1">
      <c r="C135" s="81" t="s">
        <v>158</v>
      </c>
      <c r="D135" s="6" t="s">
        <v>159</v>
      </c>
      <c r="E135" s="89">
        <f>E119*(1-cloud_availability_per_month)</f>
        <v>0</v>
      </c>
      <c r="F135" s="80">
        <f>Table_Summary_Cloud_Costs[[#This Row],[1 '[$']]]*(1+rate_of_inflation)</f>
        <v>0</v>
      </c>
      <c r="G135" s="95">
        <f>Table_Summary_Cloud_Costs[[#This Row],[2 '[$']]]*(1+rate_of_inflation)</f>
        <v>0</v>
      </c>
    </row>
    <row r="136" spans="3:7" ht="15" customHeight="1">
      <c r="C136" s="11" t="s">
        <v>146</v>
      </c>
      <c r="D136" s="6" t="s">
        <v>160</v>
      </c>
      <c r="E136" s="89">
        <f>SUM(E134:E135)</f>
        <v>0</v>
      </c>
      <c r="F136" s="89">
        <f t="shared" ref="F136:G136" si="3">SUM(F134:F135)</f>
        <v>0</v>
      </c>
      <c r="G136" s="89">
        <f t="shared" si="3"/>
        <v>0</v>
      </c>
    </row>
    <row r="137" spans="3:7" ht="15.95" customHeight="1">
      <c r="C137" s="38" t="s">
        <v>161</v>
      </c>
      <c r="D137" s="39" t="s">
        <v>162</v>
      </c>
      <c r="E137" s="93">
        <f>SUM(E131,E136)</f>
        <v>0</v>
      </c>
      <c r="F137" s="93">
        <f>SUM(F131,F136)</f>
        <v>0</v>
      </c>
      <c r="G137" s="97">
        <f>SUM(G131,G136)</f>
        <v>0</v>
      </c>
    </row>
    <row r="138" spans="3:7" ht="15" customHeight="1">
      <c r="C138" s="13"/>
    </row>
    <row r="139" spans="3:7" ht="15" customHeight="1">
      <c r="C139" s="13"/>
    </row>
    <row r="140" spans="3:7" ht="19.5" customHeight="1">
      <c r="C140" s="283" t="s">
        <v>163</v>
      </c>
      <c r="D140" s="283"/>
      <c r="E140" s="283"/>
      <c r="F140" s="283"/>
      <c r="G140" s="283"/>
    </row>
    <row r="141" spans="3:7" ht="14.45" customHeight="1">
      <c r="C141" s="13"/>
    </row>
    <row r="142" spans="3:7" ht="15">
      <c r="C142" s="13"/>
    </row>
    <row r="143" spans="3:7">
      <c r="C143" s="206" t="s">
        <v>164</v>
      </c>
      <c r="D143" s="76" t="s">
        <v>84</v>
      </c>
      <c r="E143" s="213" t="s">
        <v>165</v>
      </c>
      <c r="F143" s="205" t="s">
        <v>166</v>
      </c>
      <c r="G143" s="205" t="s">
        <v>167</v>
      </c>
    </row>
    <row r="144" spans="3:7" ht="18.95" customHeight="1">
      <c r="C144" s="9" t="s">
        <v>168</v>
      </c>
      <c r="D144" s="4" t="s">
        <v>169</v>
      </c>
      <c r="E144" s="98">
        <f ca="1">IFERROR((operational_legacy_cost_1_year-operational_cloud_cost_1_year)/operational_legacy_cost_1_year,0)</f>
        <v>0</v>
      </c>
      <c r="F144" s="98">
        <f ca="1">IFERROR((operational_legacy_cost_2_year-operational_cloud_cost_2_year)/operational_legacy_cost_2_year,0)</f>
        <v>0</v>
      </c>
      <c r="G144" s="98">
        <f ca="1">IFERROR((operational_legacy_cost_3_year-operational_cloud_cost_3_year)/operational_legacy_cost_3_year,0)</f>
        <v>0</v>
      </c>
    </row>
    <row r="145" spans="3:7" ht="19.5" customHeight="1">
      <c r="C145" s="9" t="s">
        <v>170</v>
      </c>
      <c r="D145" s="4" t="s">
        <v>171</v>
      </c>
      <c r="E145" s="36">
        <f ca="1">total_legacy_cost_1_year-total_cloud_cost_1_year</f>
        <v>0</v>
      </c>
      <c r="F145" s="36">
        <f ca="1">total_legacy_cost_2_year-total_cloud_cost_2_year</f>
        <v>0</v>
      </c>
      <c r="G145" s="36">
        <f ca="1">total_legacy_cost_3_year-total_cloud_cost_3_year</f>
        <v>0</v>
      </c>
    </row>
    <row r="146" spans="3:7" ht="17.100000000000001" customHeight="1">
      <c r="C146" s="9" t="s">
        <v>172</v>
      </c>
      <c r="D146" s="4" t="s">
        <v>173</v>
      </c>
      <c r="E146" s="233">
        <f ca="1">IFERROR((E145-initial_investment)/initial_investment,0)</f>
        <v>0</v>
      </c>
      <c r="F146" s="233">
        <f ca="1">IFERROR((F145-initial_investment)/initial_investment,0)</f>
        <v>0</v>
      </c>
      <c r="G146" s="233">
        <f ca="1">IFERROR((G145-initial_investment)/initial_investment,0)</f>
        <v>0</v>
      </c>
    </row>
    <row r="147" spans="3:7" ht="15">
      <c r="C147" s="13"/>
    </row>
    <row r="148" spans="3:7" ht="15">
      <c r="C148" s="13"/>
    </row>
    <row r="149" spans="3:7" ht="15">
      <c r="C149" s="13"/>
    </row>
    <row r="150" spans="3:7">
      <c r="C150" s="165" t="s">
        <v>174</v>
      </c>
      <c r="D150" s="185" t="s">
        <v>84</v>
      </c>
      <c r="E150" s="185" t="s">
        <v>165</v>
      </c>
      <c r="F150" s="186" t="s">
        <v>166</v>
      </c>
      <c r="G150" s="186" t="s">
        <v>167</v>
      </c>
    </row>
    <row r="151" spans="3:7" ht="19.5" customHeight="1">
      <c r="C151" s="182" t="s">
        <v>175</v>
      </c>
      <c r="D151" s="179"/>
      <c r="E151" s="180"/>
    </row>
    <row r="152" spans="3:7" ht="15.6" customHeight="1">
      <c r="C152" s="112" t="s">
        <v>176</v>
      </c>
      <c r="D152" s="4" t="s">
        <v>177</v>
      </c>
      <c r="E152" s="176">
        <f>IFERROR(shut_down_cloud_cost_1_year/shut_down_legacy_cost_1_year,0)</f>
        <v>0</v>
      </c>
      <c r="F152" s="176">
        <f>IFERROR(shut_down_cloud_cost_2_year/shut_down_legacy_cost_2_year,0)</f>
        <v>0</v>
      </c>
      <c r="G152" s="176">
        <f>IFERROR(shut_down_cloud_cost_3_year/shut_down_legacy_cost_3_year,0)</f>
        <v>0</v>
      </c>
    </row>
    <row r="153" spans="3:7" ht="16.5" customHeight="1">
      <c r="C153" s="112" t="s">
        <v>178</v>
      </c>
      <c r="D153" s="4" t="s">
        <v>179</v>
      </c>
      <c r="E153" s="181">
        <f>shut_down_legacy_cost_1_year-shut_down_cloud_cost_1_year</f>
        <v>0</v>
      </c>
      <c r="F153" s="181">
        <f>shut_down_legacy_cost_2_year-shut_down_cloud_cost_2_year</f>
        <v>0</v>
      </c>
      <c r="G153" s="181">
        <f>shut_down_legacy_cost_3_year-shut_down_cloud_cost_3_year</f>
        <v>0</v>
      </c>
    </row>
    <row r="154" spans="3:7" ht="15.95" customHeight="1">
      <c r="C154" s="183" t="s">
        <v>180</v>
      </c>
      <c r="D154" s="4" t="s">
        <v>181</v>
      </c>
      <c r="E154" s="176">
        <f>IFERROR(downtime_cloud_costs_1_year/downtime_legacy_cost_1_year,0)</f>
        <v>0</v>
      </c>
      <c r="F154" s="176">
        <f>IFERROR(downtime_cloud_costs_2_year/downtime_legacy_costs_2_year,0)</f>
        <v>0</v>
      </c>
      <c r="G154" s="176">
        <f>IFERROR(downtime_cloud_costs_3_year/downtime_legacy_costs_3_year,0)</f>
        <v>0</v>
      </c>
    </row>
    <row r="155" spans="3:7" ht="18" customHeight="1">
      <c r="C155" s="183" t="s">
        <v>182</v>
      </c>
      <c r="D155" s="4" t="s">
        <v>183</v>
      </c>
      <c r="E155" s="177">
        <f>downtime_legacy_cost_1_year-downtime_cloud_costs_1_year</f>
        <v>0</v>
      </c>
      <c r="F155" s="177">
        <f>downtime_legacy_costs_2_year-downtime_cloud_costs_2_year</f>
        <v>0</v>
      </c>
      <c r="G155" s="177">
        <f>downtime_legacy_costs_3_year-downtime_cloud_costs_3_year</f>
        <v>0</v>
      </c>
    </row>
    <row r="156" spans="3:7">
      <c r="C156" s="182" t="s">
        <v>184</v>
      </c>
      <c r="D156" s="4"/>
      <c r="E156" s="177"/>
    </row>
    <row r="157" spans="3:7" ht="16.5" customHeight="1">
      <c r="C157" s="184" t="s">
        <v>185</v>
      </c>
      <c r="D157" s="4" t="s">
        <v>186</v>
      </c>
      <c r="E157" s="176">
        <f>IFERROR(infrastructure_cloud_cost_1_year/infrastructure_legacy_cost_1_year,0)</f>
        <v>0</v>
      </c>
      <c r="F157" s="176">
        <f>IFERROR(infrastructure_cloud_cost_2_year/infrastructure_legacy_cost_2_year,0)</f>
        <v>0</v>
      </c>
      <c r="G157" s="176">
        <f>IFERROR(infrastructure_cloud_cost_3_year/infrastructure_legacy_cost_3_year,0)</f>
        <v>0</v>
      </c>
    </row>
    <row r="158" spans="3:7" ht="17.100000000000001" customHeight="1">
      <c r="C158" s="184" t="s">
        <v>187</v>
      </c>
      <c r="D158" s="4" t="s">
        <v>188</v>
      </c>
      <c r="E158" s="177">
        <f>infrastructure_legacy_cost_1_year-infrastructure_cloud_cost_1_year</f>
        <v>0</v>
      </c>
      <c r="F158" s="177">
        <f>infrastructure_legacy_cost_2_year-infrastructure_cloud_cost_2_year</f>
        <v>0</v>
      </c>
      <c r="G158" s="177">
        <f>infrastructure_legacy_cost_3_year-infrastructure_cloud_cost_3_year</f>
        <v>0</v>
      </c>
    </row>
    <row r="159" spans="3:7" ht="16.5" customHeight="1">
      <c r="C159" s="184" t="s">
        <v>189</v>
      </c>
      <c r="D159" s="4" t="s">
        <v>190</v>
      </c>
      <c r="E159" s="176">
        <f>IFERROR(it_salary_cloud_cost_1_year/it_salary_legacy_cost_1_year,0)</f>
        <v>0</v>
      </c>
      <c r="F159" s="176">
        <f>IFERROR(it_salary_cloud_cost_2_year/it_salary_legacy_cost_2_year,0)</f>
        <v>0</v>
      </c>
      <c r="G159" s="176">
        <f>IFERROR(it_salary_cloud_cost_3_year/it_salary_legacy_cost_3_year,0)</f>
        <v>0</v>
      </c>
    </row>
    <row r="160" spans="3:7" ht="18" customHeight="1">
      <c r="C160" s="184" t="s">
        <v>191</v>
      </c>
      <c r="D160" s="17" t="s">
        <v>192</v>
      </c>
      <c r="E160" s="178">
        <f>it_salary_legacy_cost_1_year-it_salary_cloud_cost_1_year</f>
        <v>0</v>
      </c>
      <c r="F160" s="178">
        <f>it_salary_legacy_cost_2_year-it_salary_cloud_cost_2_year</f>
        <v>0</v>
      </c>
      <c r="G160" s="178">
        <f>it_salary_legacy_cost_3_year-it_salary_cloud_cost_3_year</f>
        <v>0</v>
      </c>
    </row>
    <row r="161" spans="3:7" ht="14.1" customHeight="1">
      <c r="C161" s="183" t="s">
        <v>193</v>
      </c>
      <c r="D161" s="17" t="s">
        <v>194</v>
      </c>
      <c r="E161" s="176">
        <f>IFERROR(unexpected_cloud_cost_1_year/unexpected_legacy_cost_1_year,0)</f>
        <v>0</v>
      </c>
      <c r="F161" s="176">
        <f>IFERROR(unexpected_cloud_cost_2_year/unexpected_legacy_cost_2_year,0)</f>
        <v>0</v>
      </c>
      <c r="G161" s="176">
        <f>IFERROR(unexpected_cloud_cost_3_year/unexpected_legacy_cost_3_year,0)</f>
        <v>0</v>
      </c>
    </row>
    <row r="162" spans="3:7" ht="15.6" customHeight="1">
      <c r="C162" s="183" t="s">
        <v>195</v>
      </c>
      <c r="D162" s="4" t="s">
        <v>196</v>
      </c>
      <c r="E162" s="177">
        <f>unexpected_legacy_cost_1_year-unexpected_cloud_cost_1_year</f>
        <v>0</v>
      </c>
      <c r="F162" s="177">
        <f>unexpected_legacy_cost_2_year-unexpected_cloud_cost_2_year</f>
        <v>0</v>
      </c>
      <c r="G162" s="177">
        <f>unexpected_legacy_cost_2_year-unexpected_cloud_cost_2_year</f>
        <v>0</v>
      </c>
    </row>
    <row r="163" spans="3:7">
      <c r="C163" s="16" t="s">
        <v>197</v>
      </c>
      <c r="D163" s="249"/>
      <c r="E163" s="176">
        <f ca="1">IFERROR(licensing_cloud_cost_1_year/licensing_legacy_cost_1_year,0)</f>
        <v>0</v>
      </c>
      <c r="F163" s="176">
        <f ca="1">IFERROR(licensing_cloud_cost_2_year/licensing_legacy_cost_2_year,0)</f>
        <v>0</v>
      </c>
      <c r="G163" s="176">
        <f ca="1">IFERROR(licensing_cloud_cost_3_year/licensing_legacy_cost_3_year,0)</f>
        <v>0</v>
      </c>
    </row>
    <row r="164" spans="3:7">
      <c r="C164" s="16" t="s">
        <v>198</v>
      </c>
      <c r="D164" s="249"/>
      <c r="E164" s="243">
        <f ca="1">licensing_legacy_cost_1_year-licensing_cloud_cost_1_year</f>
        <v>0</v>
      </c>
      <c r="F164" s="243">
        <f ca="1">licensing_legacy_cost_2_year-licensing_cloud_cost_2_year</f>
        <v>0</v>
      </c>
      <c r="G164" s="243">
        <f ca="1">licensing_legacy_cost_3_year-licensing_cloud_cost_3_year</f>
        <v>0</v>
      </c>
    </row>
    <row r="165" spans="3:7">
      <c r="C165" s="182" t="s">
        <v>199</v>
      </c>
      <c r="D165" s="249"/>
      <c r="E165" s="178"/>
      <c r="F165" s="248"/>
      <c r="G165" s="248"/>
    </row>
    <row r="166" spans="3:7">
      <c r="C166" s="16" t="s">
        <v>200</v>
      </c>
      <c r="D166" s="249"/>
      <c r="E166" s="176">
        <f>IFERROR(saving_money_improvements_productivity_percentage_1_year,0)</f>
        <v>0</v>
      </c>
      <c r="F166" s="250">
        <f>IFERROR(saving_money_improvements_productivity_percentage_2_year,0)</f>
        <v>0</v>
      </c>
      <c r="G166" s="250">
        <f>IFERROR(saving_money_improvements_productivity_percentage_2_year,0)</f>
        <v>0</v>
      </c>
    </row>
    <row r="167" spans="3:7" ht="15" customHeight="1">
      <c r="C167" s="16" t="s">
        <v>201</v>
      </c>
      <c r="D167" s="249"/>
      <c r="E167" s="178">
        <f>IFERROR(savings_money_improvements_productivity_1_year,0)</f>
        <v>0</v>
      </c>
      <c r="F167" s="248">
        <f>IFERROR(saving_money_improvements_productivity_2_year,0)</f>
        <v>0</v>
      </c>
      <c r="G167" s="248">
        <f>IFERROR(savings_money_improvements_productivity_3_year,0)</f>
        <v>0</v>
      </c>
    </row>
    <row r="168" spans="3:7">
      <c r="C168" s="16" t="s">
        <v>202</v>
      </c>
      <c r="D168" s="249"/>
      <c r="E168" s="243">
        <f>IFERROR(Saving_money_show_down_and_slow_down_1_year,0)</f>
        <v>0</v>
      </c>
      <c r="F168" s="251">
        <f>IFERROR(Saving_money_show_down_and_slow_down_2_year,0)</f>
        <v>0</v>
      </c>
      <c r="G168" s="251">
        <f>IFERROR(Saving_money_show_down_and_slow_down_3_year,0)</f>
        <v>0</v>
      </c>
    </row>
    <row r="169" spans="3:7">
      <c r="C169" s="16" t="s">
        <v>203</v>
      </c>
      <c r="D169" s="252"/>
      <c r="E169" s="247">
        <f>salary_money_in_it_operation_salary_unexpected_cost_1_year_productivity</f>
        <v>0</v>
      </c>
      <c r="F169" s="251">
        <f>salary_money_in_it_operation_salary_unexpected_cost_2_year_productivity</f>
        <v>0</v>
      </c>
      <c r="G169" s="251">
        <f>salary_money_in_it_operation_salary_unexpected_cost_3_year_productivity</f>
        <v>0</v>
      </c>
    </row>
    <row r="175" spans="3:7" ht="16.5" customHeight="1"/>
    <row r="196" spans="3:7" ht="16.5" customHeight="1"/>
    <row r="197" spans="3:7" ht="14.1" customHeight="1"/>
    <row r="198" spans="3:7" s="13" customFormat="1" ht="17.100000000000001" customHeight="1"/>
    <row r="199" spans="3:7" s="13" customFormat="1" ht="15.6" customHeight="1"/>
    <row r="200" spans="3:7" s="13" customFormat="1" ht="15"/>
    <row r="201" spans="3:7" s="13" customFormat="1" ht="17.100000000000001" customHeight="1"/>
    <row r="202" spans="3:7" s="13" customFormat="1" ht="15" customHeight="1"/>
    <row r="203" spans="3:7" s="13" customFormat="1" ht="14.45" customHeight="1"/>
    <row r="204" spans="3:7" s="13" customFormat="1" ht="18" customHeight="1"/>
    <row r="205" spans="3:7" s="13" customFormat="1" ht="15.6" customHeight="1"/>
    <row r="206" spans="3:7" s="13" customFormat="1" ht="16.5" customHeight="1"/>
    <row r="207" spans="3:7" s="13" customFormat="1">
      <c r="C207" s="79"/>
      <c r="D207" s="70"/>
      <c r="E207" s="80"/>
      <c r="F207" s="80"/>
      <c r="G207" s="80"/>
    </row>
    <row r="208" spans="3:7" s="13" customFormat="1">
      <c r="C208" s="79"/>
      <c r="D208" s="70"/>
      <c r="E208" s="80"/>
      <c r="F208" s="80"/>
      <c r="G208" s="80"/>
    </row>
    <row r="209" spans="3:7" s="13" customFormat="1">
      <c r="C209" s="79"/>
      <c r="D209" s="70"/>
      <c r="E209" s="80"/>
      <c r="F209" s="80"/>
      <c r="G209" s="80"/>
    </row>
    <row r="210" spans="3:7" s="13" customFormat="1">
      <c r="C210" s="79"/>
      <c r="D210" s="70"/>
      <c r="E210" s="80"/>
      <c r="F210" s="80"/>
      <c r="G210" s="80"/>
    </row>
    <row r="211" spans="3:7" s="13" customFormat="1">
      <c r="C211" s="79"/>
      <c r="D211" s="70"/>
      <c r="E211" s="80"/>
      <c r="F211" s="80"/>
      <c r="G211" s="80"/>
    </row>
    <row r="212" spans="3:7" s="13" customFormat="1">
      <c r="C212" s="79"/>
      <c r="D212" s="70"/>
      <c r="E212" s="80"/>
      <c r="F212" s="80"/>
      <c r="G212" s="80"/>
    </row>
    <row r="213" spans="3:7" s="13" customFormat="1">
      <c r="C213" s="16"/>
    </row>
    <row r="214" spans="3:7" s="13" customFormat="1">
      <c r="C214" s="16"/>
    </row>
    <row r="217" spans="3:7" ht="15" customHeight="1">
      <c r="C217" s="2"/>
      <c r="D217"/>
      <c r="E217"/>
      <c r="F217"/>
      <c r="G217"/>
    </row>
    <row r="218" spans="3:7" ht="15.6" customHeight="1">
      <c r="C218" s="2"/>
      <c r="D218"/>
      <c r="E218"/>
      <c r="F218"/>
      <c r="G218"/>
    </row>
    <row r="219" spans="3:7" ht="21.95" customHeight="1">
      <c r="C219" s="2"/>
      <c r="D219"/>
      <c r="E219"/>
      <c r="F219"/>
      <c r="G219"/>
    </row>
    <row r="220" spans="3:7" ht="15.6" customHeight="1">
      <c r="C220" s="2"/>
      <c r="D220"/>
      <c r="E220"/>
      <c r="F220"/>
      <c r="G220"/>
    </row>
    <row r="221" spans="3:7" ht="15.6" customHeight="1">
      <c r="C221" s="2"/>
      <c r="D221"/>
      <c r="E221"/>
      <c r="F221"/>
      <c r="G221"/>
    </row>
    <row r="222" spans="3:7" ht="15.6" customHeight="1">
      <c r="C222" s="2"/>
      <c r="D222"/>
      <c r="E222"/>
      <c r="F222"/>
      <c r="G222"/>
    </row>
    <row r="223" spans="3:7" ht="14.45" customHeight="1">
      <c r="C223" s="2"/>
      <c r="D223"/>
      <c r="E223"/>
      <c r="F223"/>
      <c r="G223"/>
    </row>
    <row r="224" spans="3:7" ht="18.600000000000001" customHeight="1">
      <c r="C224" s="2"/>
      <c r="D224"/>
      <c r="E224"/>
      <c r="F224"/>
      <c r="G224"/>
    </row>
    <row r="225" spans="3:7" ht="14.45" customHeight="1">
      <c r="C225" s="2"/>
      <c r="D225"/>
      <c r="E225"/>
      <c r="F225"/>
      <c r="G225"/>
    </row>
    <row r="226" spans="3:7" ht="15.6" customHeight="1">
      <c r="C226" s="2"/>
      <c r="D226"/>
      <c r="E226"/>
      <c r="F226"/>
      <c r="G226"/>
    </row>
    <row r="227" spans="3:7" ht="15.6" customHeight="1">
      <c r="C227" s="2"/>
      <c r="D227"/>
      <c r="E227"/>
      <c r="F227"/>
      <c r="G227"/>
    </row>
    <row r="228" spans="3:7" ht="15.6" customHeight="1">
      <c r="C228" s="2"/>
      <c r="D228"/>
      <c r="E228"/>
      <c r="F228"/>
      <c r="G228"/>
    </row>
    <row r="229" spans="3:7" ht="15.6" customHeight="1">
      <c r="C229" s="2"/>
      <c r="D229"/>
      <c r="E229"/>
      <c r="F229"/>
      <c r="G229"/>
    </row>
    <row r="230" spans="3:7" ht="15.6" customHeight="1">
      <c r="C230" s="2"/>
      <c r="D230"/>
      <c r="E230"/>
      <c r="F230"/>
      <c r="G230"/>
    </row>
    <row r="231" spans="3:7" ht="15.6" customHeight="1">
      <c r="C231" s="2"/>
      <c r="D231"/>
      <c r="E231"/>
      <c r="F231"/>
      <c r="G231"/>
    </row>
    <row r="232" spans="3:7" ht="15.6" customHeight="1">
      <c r="C232" s="2"/>
      <c r="D232"/>
      <c r="E232"/>
      <c r="F232"/>
      <c r="G232"/>
    </row>
  </sheetData>
  <mergeCells count="10">
    <mergeCell ref="C140:G140"/>
    <mergeCell ref="C3:H3"/>
    <mergeCell ref="C124:G124"/>
    <mergeCell ref="C108:G108"/>
    <mergeCell ref="C87:G87"/>
    <mergeCell ref="C61:G61"/>
    <mergeCell ref="C49:G49"/>
    <mergeCell ref="C4:H4"/>
    <mergeCell ref="C75:G75"/>
    <mergeCell ref="C20:G20"/>
  </mergeCells>
  <phoneticPr fontId="47" type="noConversion"/>
  <dataValidations count="5">
    <dataValidation allowBlank="1" showInputMessage="1" showErrorMessage="1" promptTitle="Recommendations" prompt="Take into account the three environments (Production, Test, and Development), and also take into account the enterprise agreement and the volumetry of the data to measure the growth of the database." sqref="C36" xr:uid="{0835B70B-365B-44D2-A151-9D2657009425}"/>
    <dataValidation allowBlank="1" showInputMessage="1" showErrorMessage="1" promptTitle="Recommendations" prompt="30 % Replatform_x000a_40 % Refactor" sqref="C32" xr:uid="{2289BCEA-B399-48A6-9426-44166E1D82E7}"/>
    <dataValidation allowBlank="1" showInputMessage="1" showErrorMessage="1" promptTitle="Recommendations" prompt="https://www.apmdigest.com/the-impact-of-app-performance-on-productivity" sqref="C24" xr:uid="{F649E01A-85A1-4D35-972F-F41F2CB36679}"/>
    <dataValidation allowBlank="1" showInputMessage="1" showErrorMessage="1" promptTitle="Equation" prompt="(Total cloud cost / 12 months) * 3 first months of costs" sqref="C15" xr:uid="{DE6026F9-ECF0-4466-9C00-26BDC7829314}"/>
    <dataValidation allowBlank="1" showInputMessage="1" showErrorMessage="1" promptTitle="Equation" prompt="Downtime legacy costs *(1- Increased productivity IT team)" sqref="C134" xr:uid="{230ABDA1-0BF0-466C-962D-523D088B324B}"/>
  </dataValidations>
  <pageMargins left="0.7" right="0.7" top="0.75" bottom="0.75" header="0.3" footer="0.3"/>
  <pageSetup orientation="portrait" r:id="rId1"/>
  <drawing r:id="rId2"/>
  <legacyDrawing r:id="rId3"/>
  <tableParts count="8">
    <tablePart r:id="rId4"/>
    <tablePart r:id="rId5"/>
    <tablePart r:id="rId6"/>
    <tablePart r:id="rId7"/>
    <tablePart r:id="rId8"/>
    <tablePart r:id="rId9"/>
    <tablePart r:id="rId10"/>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r:uid="{6427FCBB-087D-414C-B719-19E938F36562}">
          <x14:formula1>
            <xm:f>Dropdownlist!$A$2:$A$3</xm:f>
          </x14:formula1>
          <xm:sqref>E32:E33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11410-443E-41B2-843C-39B9D49D22C8}">
  <sheetPr codeName="Sheet5"/>
  <dimension ref="A1:A3"/>
  <sheetViews>
    <sheetView workbookViewId="0"/>
  </sheetViews>
  <sheetFormatPr defaultRowHeight="15"/>
  <sheetData>
    <row r="1" spans="1:1">
      <c r="A1" s="145" t="s">
        <v>204</v>
      </c>
    </row>
    <row r="2" spans="1:1">
      <c r="A2" s="172">
        <v>0.3</v>
      </c>
    </row>
    <row r="3" spans="1:1">
      <c r="A3" s="172">
        <v>0.4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A6CFA-8012-43F9-9D62-B57355D376A6}">
  <sheetPr codeName="Sheet7"/>
  <dimension ref="A1:XFC172"/>
  <sheetViews>
    <sheetView zoomScale="94" zoomScaleNormal="94" workbookViewId="0">
      <selection activeCell="A3" sqref="A3"/>
    </sheetView>
  </sheetViews>
  <sheetFormatPr defaultColWidth="0" defaultRowHeight="15" zeroHeight="1"/>
  <cols>
    <col min="1" max="1" width="4.42578125" style="13" customWidth="1"/>
    <col min="2" max="2" width="5.5703125" style="13" customWidth="1"/>
    <col min="3" max="3" width="52.42578125" customWidth="1"/>
    <col min="4" max="4" width="0.42578125" hidden="1" customWidth="1"/>
    <col min="5" max="5" width="22.42578125" customWidth="1"/>
    <col min="6" max="6" width="22.28515625" customWidth="1"/>
    <col min="7" max="7" width="21.42578125" customWidth="1"/>
    <col min="8" max="8" width="18.140625" style="13" customWidth="1"/>
    <col min="9" max="9" width="29.85546875" style="13" customWidth="1"/>
    <col min="10" max="10" width="11.28515625" style="13" customWidth="1"/>
    <col min="11" max="11" width="8.7109375" style="13" hidden="1" customWidth="1"/>
    <col min="12" max="12" width="0" style="13" hidden="1" customWidth="1"/>
    <col min="13" max="16383" width="8.7109375" hidden="1"/>
    <col min="16384" max="16384" width="0.7109375" style="13" customWidth="1"/>
  </cols>
  <sheetData>
    <row r="1" spans="1:11" ht="15.75">
      <c r="C1" s="16"/>
      <c r="D1" s="13"/>
      <c r="E1" s="13"/>
      <c r="F1" s="13"/>
      <c r="G1" s="13"/>
    </row>
    <row r="2" spans="1:11" ht="15.75">
      <c r="C2" s="16"/>
      <c r="D2" s="13"/>
      <c r="E2" s="13"/>
      <c r="F2" s="13"/>
      <c r="G2" s="13"/>
    </row>
    <row r="3" spans="1:11" ht="25.5" customHeight="1">
      <c r="C3" s="276" t="s">
        <v>0</v>
      </c>
      <c r="D3" s="276"/>
      <c r="E3" s="276"/>
      <c r="F3" s="276"/>
      <c r="G3" s="276"/>
      <c r="H3" s="276"/>
      <c r="I3" s="276"/>
    </row>
    <row r="4" spans="1:11" ht="23.45" customHeight="1">
      <c r="C4" s="276" t="s">
        <v>205</v>
      </c>
      <c r="D4" s="276"/>
      <c r="E4" s="276"/>
      <c r="F4" s="276"/>
      <c r="G4" s="276"/>
      <c r="H4" s="276"/>
      <c r="I4" s="276"/>
      <c r="J4" s="153"/>
      <c r="K4" s="153"/>
    </row>
    <row r="5" spans="1:11" ht="23.45" customHeight="1">
      <c r="C5" s="280"/>
      <c r="D5" s="280"/>
      <c r="E5" s="280"/>
      <c r="F5" s="280"/>
      <c r="G5" s="280"/>
      <c r="H5" s="192"/>
      <c r="I5" s="192"/>
    </row>
    <row r="6" spans="1:11" ht="18" customHeight="1">
      <c r="C6" s="44"/>
      <c r="D6" s="13"/>
      <c r="E6" s="13"/>
      <c r="F6" s="13"/>
      <c r="G6" s="13"/>
    </row>
    <row r="7" spans="1:11" customFormat="1">
      <c r="A7" s="13"/>
      <c r="B7" s="13"/>
      <c r="C7" s="298"/>
      <c r="D7" s="298"/>
      <c r="E7" s="298"/>
      <c r="F7" s="298"/>
      <c r="G7" s="298"/>
      <c r="H7" s="298"/>
      <c r="I7" s="298"/>
    </row>
    <row r="8" spans="1:11">
      <c r="C8" s="13"/>
      <c r="D8" s="13"/>
      <c r="E8" s="13"/>
      <c r="F8" s="13"/>
      <c r="G8" s="13"/>
    </row>
    <row r="9" spans="1:11" ht="15.75">
      <c r="C9" s="79" t="s">
        <v>113</v>
      </c>
      <c r="D9" s="13"/>
      <c r="E9" s="13"/>
      <c r="F9" s="13"/>
      <c r="G9" s="13"/>
    </row>
    <row r="10" spans="1:11">
      <c r="C10" s="132"/>
      <c r="D10" s="13"/>
      <c r="E10" s="13"/>
      <c r="F10" s="13"/>
      <c r="G10" s="13"/>
    </row>
    <row r="11" spans="1:11" ht="15.75">
      <c r="C11" s="2" t="s">
        <v>206</v>
      </c>
      <c r="D11" s="8" t="s">
        <v>84</v>
      </c>
      <c r="E11" s="144" t="s">
        <v>86</v>
      </c>
      <c r="F11" s="144" t="s">
        <v>91</v>
      </c>
      <c r="G11" s="13"/>
    </row>
    <row r="12" spans="1:11">
      <c r="C12" s="142" t="s">
        <v>207</v>
      </c>
      <c r="D12" s="13"/>
      <c r="E12" s="148">
        <f>number_people_use_the_application</f>
        <v>0</v>
      </c>
      <c r="F12" s="148">
        <f>number_people_use_the_application</f>
        <v>0</v>
      </c>
      <c r="G12" s="13"/>
    </row>
    <row r="13" spans="1:11" ht="23.45" customHeight="1">
      <c r="C13" s="142" t="s">
        <v>208</v>
      </c>
      <c r="D13" s="6" t="s">
        <v>209</v>
      </c>
      <c r="E13" s="147">
        <f>(many_times_the_app_gets_slow_in_daily_minutes/60)*days_of_the_month</f>
        <v>0</v>
      </c>
      <c r="F13" s="260">
        <f>(dead_time_due_to_severe_slowness_cloud_min_per_day*30)/60</f>
        <v>0</v>
      </c>
      <c r="G13" s="13"/>
    </row>
    <row r="14" spans="1:11" ht="24.6" customHeight="1">
      <c r="C14" s="142" t="s">
        <v>210</v>
      </c>
      <c r="D14" s="6" t="s">
        <v>211</v>
      </c>
      <c r="E14" s="260">
        <f>(many_times_the_app_gets_shut_down_in_weekly/60)*4</f>
        <v>0</v>
      </c>
      <c r="F14" s="260">
        <f>(total_dead_time_cloud_min_per_day*30)/60</f>
        <v>0</v>
      </c>
      <c r="G14" s="13"/>
    </row>
    <row r="15" spans="1:11" ht="35.450000000000003" customHeight="1">
      <c r="C15" s="142" t="s">
        <v>212</v>
      </c>
      <c r="D15" s="6" t="s">
        <v>62</v>
      </c>
      <c r="E15" s="148">
        <f>working_hours_per_day</f>
        <v>0</v>
      </c>
      <c r="F15" s="148">
        <f>working_hours_per_day</f>
        <v>0</v>
      </c>
      <c r="G15" s="13"/>
    </row>
    <row r="16" spans="1:11" ht="23.45" customHeight="1">
      <c r="C16" s="142" t="s">
        <v>213</v>
      </c>
      <c r="D16" s="6" t="s">
        <v>214</v>
      </c>
      <c r="E16" s="164">
        <f>IFERROR(((E12*E15*20)-(E12*(E13+E14)))/E17,0)</f>
        <v>0</v>
      </c>
      <c r="F16" s="164">
        <f>IFERROR(((F12*F15*20)-(F12*(F13+F14)))/F17,0)</f>
        <v>0</v>
      </c>
      <c r="G16" s="13"/>
    </row>
    <row r="17" spans="3:9" customFormat="1">
      <c r="C17" t="s">
        <v>215</v>
      </c>
      <c r="D17" t="s">
        <v>216</v>
      </c>
      <c r="E17">
        <f>E15*E12*20</f>
        <v>0</v>
      </c>
      <c r="F17">
        <f>F15*F12*20</f>
        <v>0</v>
      </c>
    </row>
    <row r="18" spans="3:9">
      <c r="C18" s="13"/>
      <c r="D18" s="13"/>
      <c r="E18" s="148"/>
      <c r="F18" s="148"/>
      <c r="G18" s="13"/>
    </row>
    <row r="19" spans="3:9">
      <c r="C19" s="13"/>
      <c r="D19" s="68"/>
      <c r="E19" s="148"/>
      <c r="F19" s="148"/>
      <c r="G19" s="13"/>
    </row>
    <row r="20" spans="3:9">
      <c r="C20" s="142"/>
      <c r="D20" s="13"/>
      <c r="E20" s="13"/>
      <c r="F20" s="13"/>
      <c r="G20" s="13"/>
    </row>
    <row r="21" spans="3:9" ht="15.75">
      <c r="C21" s="149" t="s">
        <v>217</v>
      </c>
      <c r="D21" s="143" t="s">
        <v>84</v>
      </c>
      <c r="E21" s="152" t="s">
        <v>165</v>
      </c>
      <c r="F21" s="152" t="s">
        <v>166</v>
      </c>
      <c r="G21" s="152" t="s">
        <v>167</v>
      </c>
      <c r="H21" s="152" t="s">
        <v>218</v>
      </c>
      <c r="I21" s="165" t="s">
        <v>219</v>
      </c>
    </row>
    <row r="22" spans="3:9" ht="21.6" customHeight="1">
      <c r="C22" s="150" t="s">
        <v>220</v>
      </c>
      <c r="D22" s="6" t="s">
        <v>221</v>
      </c>
      <c r="E22" s="168">
        <f>F16-E16</f>
        <v>0</v>
      </c>
      <c r="F22" s="167">
        <f>Table_Productivity[[#This Row],[1]]*(1+rate_of_inflation)</f>
        <v>0</v>
      </c>
      <c r="G22" s="167">
        <f>Table_Productivity[[#This Row],[2]]*(1+rate_of_inflation)</f>
        <v>0</v>
      </c>
      <c r="H22" s="48"/>
      <c r="I22" s="48"/>
    </row>
    <row r="23" spans="3:9" ht="19.5" customHeight="1">
      <c r="C23" s="240" t="s">
        <v>202</v>
      </c>
      <c r="D23" s="6" t="s">
        <v>222</v>
      </c>
      <c r="E23" s="241">
        <f>$E$17*average_hourly_cost_employee_use_application_USD*$E$22* months_of_year</f>
        <v>0</v>
      </c>
      <c r="F23" s="151">
        <f>Table_Productivity[[#This Row],[1]]*(1+rate_of_inflation)</f>
        <v>0</v>
      </c>
      <c r="G23" s="151">
        <f>Table_Productivity[[#This Row],[2]]*(1+rate_of_inflation)</f>
        <v>0</v>
      </c>
      <c r="H23" s="167">
        <f>IFERROR(Table_Productivity[[#This Row],[1]]/E27,0)</f>
        <v>0</v>
      </c>
      <c r="I23" s="167">
        <f>Table_Productivity[[#This Row],['[%']]]*E29</f>
        <v>0</v>
      </c>
    </row>
    <row r="24" spans="3:9" ht="28.5" customHeight="1">
      <c r="C24" s="150" t="s">
        <v>203</v>
      </c>
      <c r="D24" s="6" t="s">
        <v>223</v>
      </c>
      <c r="E24" s="86">
        <f>(it_salary_legacy_cost_1_year+unexpected_legacy_cost_1_year)*it_operational_productivity</f>
        <v>0</v>
      </c>
      <c r="F24" s="151">
        <f>(it_salary_legacy_cost_2_year+unexpected_legacy_cost_2_year)*it_operational_productivity</f>
        <v>0</v>
      </c>
      <c r="G24" s="151">
        <f>(it_salary_legacy_cost_3_year+unexpected_legacy_cost_3_year)*it_operational_productivity</f>
        <v>0</v>
      </c>
      <c r="H24" s="167">
        <f>IFERROR(Table_Productivity[[#This Row],[1]]/E27,0)</f>
        <v>0</v>
      </c>
      <c r="I24" s="167">
        <f>Table_Productivity[[#This Row],['[%']]]*E29</f>
        <v>0</v>
      </c>
    </row>
    <row r="25" spans="3:9" ht="30.95" customHeight="1">
      <c r="C25" s="246" t="s">
        <v>224</v>
      </c>
      <c r="D25" s="6" t="s">
        <v>225</v>
      </c>
      <c r="E25" s="146">
        <f>SUM(E23:E24)</f>
        <v>0</v>
      </c>
      <c r="F25" s="151">
        <f>Table_Productivity[[#This Row],[1]]*(1+rate_of_inflation)</f>
        <v>0</v>
      </c>
      <c r="G25" s="151">
        <f>Table_Productivity[[#This Row],[2]]*(1+rate_of_inflation)</f>
        <v>0</v>
      </c>
      <c r="H25" s="48"/>
      <c r="I25" s="48"/>
    </row>
    <row r="26" spans="3:9" customFormat="1">
      <c r="C26" t="s">
        <v>226</v>
      </c>
      <c r="D26" t="s">
        <v>188</v>
      </c>
      <c r="E26" s="237">
        <f>infrastructure_legacy_cost_1_year-infrastructure_cloud_cost_1_year</f>
        <v>0</v>
      </c>
      <c r="F26" s="234">
        <f>infrastructure_legacy_cost_2_year-infrastructure_cloud_cost_2_year</f>
        <v>0</v>
      </c>
      <c r="G26" s="234">
        <f>infrastructure_legacy_cost_3_year-infrastructure_cloud_cost_3_year</f>
        <v>0</v>
      </c>
      <c r="H26" s="164">
        <f>IFERROR(Table_Productivity[[#This Row],[1]]/E27,0)</f>
        <v>0</v>
      </c>
      <c r="I26" s="164">
        <f>E29*Table_Productivity[[#This Row],['[%']]]</f>
        <v>0</v>
      </c>
    </row>
    <row r="27" spans="3:9">
      <c r="C27" s="145" t="s">
        <v>227</v>
      </c>
      <c r="D27" s="13"/>
      <c r="E27" s="80">
        <f>E25+E26</f>
        <v>0</v>
      </c>
      <c r="F27" s="146">
        <f>SUM(F25:F26)</f>
        <v>0</v>
      </c>
      <c r="G27" s="146">
        <f>SUM(G25:G26)</f>
        <v>0</v>
      </c>
      <c r="H27" s="48">
        <f>SUM(H22:H26)</f>
        <v>0</v>
      </c>
      <c r="I27" s="166">
        <f>SUM(I23:I26)</f>
        <v>0</v>
      </c>
    </row>
    <row r="28" spans="3:9" ht="14.1" customHeight="1">
      <c r="C28" s="13"/>
      <c r="D28" s="13"/>
      <c r="E28" s="132"/>
      <c r="F28" s="13"/>
      <c r="G28" s="13"/>
      <c r="H28" s="48"/>
      <c r="I28" s="48"/>
    </row>
    <row r="29" spans="3:9" ht="30">
      <c r="C29" s="189" t="s">
        <v>228</v>
      </c>
      <c r="D29" s="193" t="s">
        <v>229</v>
      </c>
      <c r="E29" s="166">
        <f>IFERROR(E27/SUM(downtime_legacy_cost_1_year,shut_down_legacy_cost_1_year,it_salary_legacy_cost_1_year,unexpected_legacy_cost_1_year,infrastructure_legacy_cost_1_year),0)</f>
        <v>0</v>
      </c>
      <c r="F29" s="166">
        <f>IFERROR(F27/SUM(Analysis!F118,Analysis!F119,Analysis!F111,Analysis!F112,Analysis!F113),0)</f>
        <v>0</v>
      </c>
      <c r="G29" s="166">
        <f>IFERROR(G27/SUM(Analysis!G118,Analysis!G119,Analysis!G111,Analysis!G112,Analysis!G113),0)</f>
        <v>0</v>
      </c>
    </row>
    <row r="30" spans="3:9">
      <c r="C30" s="13"/>
      <c r="D30" s="13"/>
      <c r="E30" s="13"/>
      <c r="F30" s="13"/>
      <c r="G30" s="13"/>
    </row>
    <row r="31" spans="3:9">
      <c r="C31" s="13"/>
      <c r="D31" s="13"/>
      <c r="E31" s="13"/>
      <c r="F31" s="13"/>
      <c r="G31" s="13"/>
    </row>
    <row r="32" spans="3:9">
      <c r="C32" s="13"/>
      <c r="D32" s="13"/>
      <c r="E32" s="13"/>
      <c r="F32" s="13"/>
      <c r="G32" s="13"/>
    </row>
    <row r="33" spans="3:7">
      <c r="C33" s="13"/>
      <c r="D33" s="13"/>
      <c r="E33" s="13"/>
      <c r="F33" s="13"/>
      <c r="G33" s="13"/>
    </row>
    <row r="34" spans="3:7">
      <c r="C34" s="13"/>
      <c r="D34" s="13"/>
      <c r="E34" s="13"/>
      <c r="F34" s="13"/>
      <c r="G34" s="13"/>
    </row>
    <row r="35" spans="3:7">
      <c r="C35" s="13"/>
      <c r="D35" s="13"/>
      <c r="E35" s="13"/>
      <c r="F35" s="13"/>
      <c r="G35" s="13"/>
    </row>
    <row r="36" spans="3:7">
      <c r="C36" s="13"/>
      <c r="D36" s="13"/>
      <c r="E36" s="13"/>
      <c r="F36" s="13"/>
      <c r="G36" s="13"/>
    </row>
    <row r="37" spans="3:7">
      <c r="C37" s="13"/>
      <c r="D37" s="13"/>
      <c r="E37" s="13"/>
      <c r="F37" s="13"/>
      <c r="G37" s="13"/>
    </row>
    <row r="38" spans="3:7">
      <c r="C38" s="13"/>
      <c r="D38" s="13"/>
      <c r="E38" s="13"/>
      <c r="F38" s="13"/>
      <c r="G38" s="13"/>
    </row>
    <row r="39" spans="3:7">
      <c r="C39" s="13"/>
      <c r="D39" s="13"/>
      <c r="E39" s="13"/>
      <c r="F39" s="13"/>
      <c r="G39" s="13"/>
    </row>
    <row r="40" spans="3:7">
      <c r="C40" s="13"/>
      <c r="D40" s="13"/>
      <c r="E40" s="13"/>
      <c r="F40" s="13"/>
      <c r="G40" s="13"/>
    </row>
    <row r="41" spans="3:7">
      <c r="C41" s="13"/>
      <c r="D41" s="13"/>
      <c r="E41" s="13"/>
      <c r="F41" s="13"/>
      <c r="G41" s="13"/>
    </row>
    <row r="42" spans="3:7" hidden="1">
      <c r="C42" s="13"/>
      <c r="D42" s="13"/>
      <c r="E42" s="13"/>
      <c r="F42" s="13"/>
      <c r="G42" s="13"/>
    </row>
    <row r="43" spans="3:7" hidden="1">
      <c r="C43" s="13"/>
      <c r="D43" s="13"/>
      <c r="E43" s="13"/>
      <c r="F43" s="13"/>
      <c r="G43" s="13"/>
    </row>
    <row r="44" spans="3:7" hidden="1">
      <c r="C44" s="13"/>
      <c r="D44" s="13"/>
      <c r="E44" s="13"/>
      <c r="F44" s="13"/>
      <c r="G44" s="13"/>
    </row>
    <row r="45" spans="3:7" hidden="1">
      <c r="C45" s="13"/>
      <c r="D45" s="13"/>
      <c r="E45" s="13"/>
      <c r="F45" s="13"/>
      <c r="G45" s="13"/>
    </row>
    <row r="46" spans="3:7" hidden="1">
      <c r="C46" s="13"/>
      <c r="D46" s="13"/>
      <c r="E46" s="13"/>
      <c r="F46" s="13"/>
      <c r="G46" s="13"/>
    </row>
    <row r="47" spans="3:7" hidden="1">
      <c r="C47" s="13"/>
      <c r="D47" s="13"/>
      <c r="E47" s="13"/>
      <c r="F47" s="13"/>
      <c r="G47" s="13"/>
    </row>
    <row r="48" spans="3:7" hidden="1">
      <c r="C48" s="13"/>
      <c r="D48" s="13"/>
      <c r="E48" s="13"/>
      <c r="F48" s="13"/>
      <c r="G48" s="13"/>
    </row>
    <row r="49" spans="1:12" hidden="1">
      <c r="C49" s="13"/>
      <c r="D49" s="13"/>
      <c r="E49" s="13"/>
      <c r="F49" s="13"/>
      <c r="G49" s="13"/>
    </row>
    <row r="50" spans="1:12" hidden="1">
      <c r="C50" s="13"/>
      <c r="D50" s="13"/>
      <c r="E50" s="13"/>
      <c r="F50" s="13"/>
      <c r="G50" s="13"/>
    </row>
    <row r="51" spans="1:12" hidden="1">
      <c r="A51"/>
      <c r="B51"/>
      <c r="H51"/>
      <c r="I51"/>
      <c r="J51"/>
      <c r="K51"/>
      <c r="L51"/>
    </row>
    <row r="52" spans="1:12" hidden="1">
      <c r="A52"/>
      <c r="B52"/>
      <c r="H52"/>
      <c r="I52"/>
      <c r="J52"/>
      <c r="K52"/>
      <c r="L52"/>
    </row>
    <row r="53" spans="1:12" hidden="1">
      <c r="A53"/>
      <c r="B53"/>
      <c r="H53"/>
      <c r="I53"/>
      <c r="J53"/>
      <c r="K53"/>
      <c r="L53"/>
    </row>
    <row r="54" spans="1:12" hidden="1">
      <c r="A54"/>
      <c r="B54"/>
      <c r="H54"/>
      <c r="I54"/>
      <c r="J54"/>
      <c r="K54"/>
      <c r="L54"/>
    </row>
    <row r="55" spans="1:12" hidden="1">
      <c r="A55"/>
      <c r="B55"/>
      <c r="H55"/>
      <c r="I55"/>
      <c r="J55"/>
      <c r="K55"/>
      <c r="L55"/>
    </row>
    <row r="56" spans="1:12" hidden="1">
      <c r="A56"/>
      <c r="B56"/>
      <c r="H56"/>
      <c r="I56"/>
      <c r="J56"/>
      <c r="K56"/>
      <c r="L56"/>
    </row>
    <row r="57" spans="1:12" hidden="1">
      <c r="A57"/>
      <c r="B57"/>
      <c r="H57"/>
      <c r="I57"/>
      <c r="J57"/>
      <c r="K57"/>
      <c r="L57"/>
    </row>
    <row r="58" spans="1:12" hidden="1">
      <c r="A58"/>
      <c r="B58"/>
      <c r="H58"/>
      <c r="I58"/>
      <c r="J58"/>
      <c r="K58"/>
      <c r="L58"/>
    </row>
    <row r="59" spans="1:12" hidden="1">
      <c r="A59"/>
      <c r="B59"/>
      <c r="H59"/>
      <c r="I59"/>
      <c r="J59"/>
      <c r="K59"/>
      <c r="L59"/>
    </row>
    <row r="60" spans="1:12" hidden="1">
      <c r="A60"/>
      <c r="B60"/>
      <c r="H60"/>
      <c r="I60"/>
      <c r="J60"/>
      <c r="K60"/>
      <c r="L60"/>
    </row>
    <row r="61" spans="1:12" hidden="1">
      <c r="A61"/>
      <c r="B61"/>
      <c r="H61"/>
      <c r="I61"/>
      <c r="J61"/>
      <c r="K61"/>
      <c r="L61"/>
    </row>
    <row r="62" spans="1:12" hidden="1">
      <c r="A62"/>
      <c r="B62"/>
      <c r="H62"/>
      <c r="I62"/>
      <c r="J62"/>
      <c r="K62"/>
      <c r="L62"/>
    </row>
    <row r="63" spans="1:12" hidden="1">
      <c r="A63"/>
      <c r="B63"/>
      <c r="H63"/>
      <c r="I63"/>
      <c r="J63"/>
      <c r="K63"/>
      <c r="L63"/>
    </row>
    <row r="64" spans="1:12" hidden="1">
      <c r="A64"/>
      <c r="B64"/>
      <c r="H64"/>
      <c r="I64"/>
      <c r="J64"/>
      <c r="K64"/>
      <c r="L64"/>
    </row>
    <row r="65" spans="1:12" hidden="1">
      <c r="A65"/>
      <c r="B65"/>
      <c r="H65"/>
      <c r="I65"/>
      <c r="J65"/>
      <c r="K65"/>
      <c r="L65"/>
    </row>
    <row r="66" spans="1:12" hidden="1">
      <c r="A66"/>
      <c r="B66"/>
      <c r="H66"/>
      <c r="I66"/>
      <c r="J66"/>
      <c r="K66"/>
      <c r="L66"/>
    </row>
    <row r="67" spans="1:12" hidden="1">
      <c r="A67"/>
      <c r="B67"/>
      <c r="H67"/>
      <c r="I67"/>
      <c r="J67"/>
      <c r="K67"/>
      <c r="L67"/>
    </row>
    <row r="68" spans="1:12" hidden="1">
      <c r="A68"/>
      <c r="B68"/>
      <c r="H68"/>
      <c r="I68"/>
      <c r="J68"/>
      <c r="K68"/>
      <c r="L68"/>
    </row>
    <row r="69" spans="1:12" hidden="1">
      <c r="A69"/>
      <c r="B69"/>
      <c r="H69"/>
      <c r="I69"/>
      <c r="J69"/>
      <c r="K69"/>
      <c r="L69"/>
    </row>
    <row r="70" spans="1:12" hidden="1">
      <c r="A70"/>
      <c r="B70"/>
      <c r="H70"/>
      <c r="I70"/>
      <c r="J70"/>
      <c r="K70"/>
      <c r="L70"/>
    </row>
    <row r="71" spans="1:12" hidden="1">
      <c r="A71"/>
      <c r="B71"/>
      <c r="H71"/>
      <c r="I71"/>
      <c r="J71"/>
      <c r="K71"/>
      <c r="L71"/>
    </row>
    <row r="72" spans="1:12" hidden="1">
      <c r="A72"/>
      <c r="B72"/>
      <c r="H72"/>
      <c r="I72"/>
      <c r="J72"/>
      <c r="K72"/>
      <c r="L72"/>
    </row>
    <row r="73" spans="1:12" hidden="1">
      <c r="A73"/>
      <c r="B73"/>
      <c r="H73"/>
      <c r="I73"/>
      <c r="J73"/>
      <c r="K73"/>
      <c r="L73"/>
    </row>
    <row r="74" spans="1:12" hidden="1">
      <c r="A74"/>
      <c r="B74"/>
      <c r="H74"/>
      <c r="I74"/>
      <c r="J74"/>
      <c r="K74"/>
      <c r="L74"/>
    </row>
    <row r="75" spans="1:12" hidden="1">
      <c r="A75"/>
      <c r="B75"/>
      <c r="H75"/>
      <c r="I75"/>
      <c r="J75"/>
      <c r="K75"/>
      <c r="L75"/>
    </row>
    <row r="76" spans="1:12" hidden="1">
      <c r="A76"/>
      <c r="B76"/>
      <c r="H76"/>
      <c r="I76"/>
      <c r="J76"/>
      <c r="K76"/>
      <c r="L76"/>
    </row>
    <row r="77" spans="1:12" hidden="1">
      <c r="A77"/>
      <c r="B77"/>
      <c r="H77"/>
      <c r="I77"/>
      <c r="J77"/>
      <c r="K77"/>
      <c r="L77"/>
    </row>
    <row r="78" spans="1:12" hidden="1">
      <c r="A78"/>
      <c r="B78"/>
      <c r="H78"/>
      <c r="I78"/>
      <c r="J78"/>
      <c r="K78"/>
      <c r="L78"/>
    </row>
    <row r="79" spans="1:12" hidden="1">
      <c r="A79"/>
      <c r="B79"/>
      <c r="H79"/>
      <c r="I79"/>
      <c r="J79"/>
      <c r="K79"/>
      <c r="L79"/>
    </row>
    <row r="80" spans="1:12" hidden="1">
      <c r="A80"/>
      <c r="B80"/>
      <c r="H80"/>
      <c r="I80"/>
      <c r="J80"/>
      <c r="K80"/>
      <c r="L80"/>
    </row>
    <row r="81" spans="1:12" hidden="1">
      <c r="A81"/>
      <c r="B81"/>
      <c r="H81"/>
      <c r="I81"/>
      <c r="J81"/>
      <c r="K81"/>
      <c r="L81"/>
    </row>
    <row r="82" spans="1:12" hidden="1">
      <c r="A82"/>
      <c r="B82"/>
      <c r="H82"/>
      <c r="I82"/>
      <c r="J82"/>
      <c r="K82"/>
      <c r="L82"/>
    </row>
    <row r="83" spans="1:12" hidden="1">
      <c r="A83"/>
      <c r="B83"/>
      <c r="H83"/>
      <c r="I83"/>
      <c r="J83"/>
      <c r="K83"/>
      <c r="L83"/>
    </row>
    <row r="84" spans="1:12" hidden="1">
      <c r="A84"/>
      <c r="B84"/>
      <c r="H84"/>
      <c r="I84"/>
      <c r="J84"/>
      <c r="K84"/>
      <c r="L84"/>
    </row>
    <row r="85" spans="1:12" hidden="1">
      <c r="A85"/>
      <c r="B85"/>
      <c r="H85"/>
      <c r="I85"/>
      <c r="J85"/>
      <c r="K85"/>
      <c r="L85"/>
    </row>
    <row r="86" spans="1:12" hidden="1">
      <c r="A86"/>
      <c r="B86"/>
      <c r="H86"/>
      <c r="I86"/>
      <c r="J86"/>
      <c r="K86"/>
      <c r="L86"/>
    </row>
    <row r="87" spans="1:12" hidden="1">
      <c r="A87"/>
      <c r="B87"/>
      <c r="H87"/>
      <c r="I87"/>
      <c r="J87"/>
      <c r="K87"/>
      <c r="L87"/>
    </row>
    <row r="88" spans="1:12" hidden="1">
      <c r="A88"/>
      <c r="B88"/>
      <c r="H88"/>
      <c r="I88"/>
      <c r="J88"/>
      <c r="K88"/>
      <c r="L88"/>
    </row>
    <row r="89" spans="1:12" hidden="1">
      <c r="A89"/>
      <c r="B89"/>
      <c r="H89"/>
      <c r="I89"/>
      <c r="J89"/>
      <c r="K89"/>
      <c r="L89"/>
    </row>
    <row r="90" spans="1:12" hidden="1">
      <c r="A90"/>
      <c r="B90"/>
      <c r="H90"/>
      <c r="I90"/>
      <c r="J90"/>
      <c r="K90"/>
      <c r="L90"/>
    </row>
    <row r="91" spans="1:12" hidden="1">
      <c r="A91"/>
      <c r="B91"/>
      <c r="H91"/>
      <c r="I91"/>
      <c r="J91"/>
      <c r="K91"/>
      <c r="L91"/>
    </row>
    <row r="92" spans="1:12" hidden="1">
      <c r="A92"/>
      <c r="B92"/>
      <c r="H92"/>
      <c r="I92"/>
      <c r="J92"/>
      <c r="K92"/>
      <c r="L92"/>
    </row>
    <row r="93" spans="1:12" hidden="1">
      <c r="A93"/>
      <c r="B93"/>
      <c r="H93"/>
      <c r="I93"/>
      <c r="J93"/>
      <c r="K93"/>
      <c r="L93"/>
    </row>
    <row r="94" spans="1:12" hidden="1">
      <c r="A94"/>
      <c r="B94"/>
      <c r="H94"/>
      <c r="I94"/>
      <c r="J94"/>
      <c r="K94"/>
      <c r="L94"/>
    </row>
    <row r="95" spans="1:12" hidden="1">
      <c r="A95"/>
      <c r="B95"/>
      <c r="H95"/>
      <c r="I95"/>
      <c r="J95"/>
      <c r="K95"/>
      <c r="L95"/>
    </row>
    <row r="96" spans="1:12" hidden="1">
      <c r="A96"/>
      <c r="B96"/>
      <c r="H96"/>
      <c r="I96"/>
      <c r="J96"/>
      <c r="K96"/>
      <c r="L96"/>
    </row>
    <row r="97" spans="1:12" hidden="1">
      <c r="A97"/>
      <c r="B97"/>
      <c r="H97"/>
      <c r="I97"/>
      <c r="J97"/>
      <c r="K97"/>
      <c r="L97"/>
    </row>
    <row r="98" spans="1:12" hidden="1">
      <c r="A98"/>
      <c r="B98"/>
      <c r="H98"/>
      <c r="I98"/>
      <c r="J98"/>
      <c r="K98"/>
      <c r="L98"/>
    </row>
    <row r="99" spans="1:12" hidden="1">
      <c r="A99"/>
      <c r="B99"/>
      <c r="H99"/>
      <c r="I99"/>
      <c r="J99"/>
      <c r="K99"/>
      <c r="L99"/>
    </row>
    <row r="100" spans="1:12" hidden="1">
      <c r="A100"/>
      <c r="B100"/>
      <c r="H100"/>
      <c r="I100"/>
      <c r="J100"/>
      <c r="K100"/>
      <c r="L100"/>
    </row>
    <row r="101" spans="1:12" hidden="1">
      <c r="A101"/>
      <c r="B101"/>
      <c r="H101"/>
      <c r="I101"/>
      <c r="J101"/>
      <c r="K101"/>
      <c r="L101"/>
    </row>
    <row r="102" spans="1:12" hidden="1">
      <c r="A102"/>
      <c r="B102"/>
      <c r="H102"/>
      <c r="I102"/>
      <c r="J102"/>
      <c r="K102"/>
      <c r="L102"/>
    </row>
    <row r="103" spans="1:12" hidden="1">
      <c r="A103"/>
      <c r="B103"/>
      <c r="H103"/>
      <c r="I103"/>
      <c r="J103"/>
      <c r="K103"/>
      <c r="L103"/>
    </row>
    <row r="104" spans="1:12" hidden="1">
      <c r="A104"/>
      <c r="B104"/>
      <c r="H104"/>
      <c r="I104"/>
      <c r="J104"/>
      <c r="K104"/>
      <c r="L104"/>
    </row>
    <row r="105" spans="1:12" hidden="1">
      <c r="A105"/>
      <c r="B105"/>
      <c r="H105"/>
      <c r="I105"/>
      <c r="J105"/>
      <c r="K105"/>
      <c r="L105"/>
    </row>
    <row r="106" spans="1:12" hidden="1">
      <c r="A106"/>
      <c r="B106"/>
      <c r="H106"/>
      <c r="I106"/>
      <c r="J106"/>
      <c r="K106"/>
      <c r="L106"/>
    </row>
    <row r="107" spans="1:12" hidden="1">
      <c r="A107"/>
      <c r="B107"/>
      <c r="H107"/>
      <c r="I107"/>
      <c r="J107"/>
      <c r="K107"/>
      <c r="L107"/>
    </row>
    <row r="108" spans="1:12" hidden="1">
      <c r="A108"/>
      <c r="B108"/>
      <c r="H108"/>
      <c r="I108"/>
      <c r="J108"/>
      <c r="K108"/>
      <c r="L108"/>
    </row>
    <row r="109" spans="1:12" hidden="1">
      <c r="A109"/>
      <c r="B109"/>
      <c r="H109"/>
      <c r="I109"/>
      <c r="J109"/>
      <c r="K109"/>
      <c r="L109"/>
    </row>
    <row r="110" spans="1:12" hidden="1">
      <c r="A110"/>
      <c r="B110"/>
      <c r="H110"/>
      <c r="I110"/>
      <c r="J110"/>
      <c r="K110"/>
      <c r="L110"/>
    </row>
    <row r="111" spans="1:12" hidden="1">
      <c r="A111"/>
      <c r="B111"/>
      <c r="H111"/>
      <c r="I111"/>
      <c r="J111"/>
      <c r="K111"/>
      <c r="L111"/>
    </row>
    <row r="112" spans="1:12" hidden="1">
      <c r="A112"/>
      <c r="B112"/>
      <c r="H112"/>
      <c r="I112"/>
      <c r="J112"/>
      <c r="K112"/>
      <c r="L112"/>
    </row>
    <row r="113" spans="1:12" hidden="1">
      <c r="A113"/>
      <c r="B113"/>
      <c r="H113"/>
      <c r="I113"/>
      <c r="J113"/>
      <c r="K113"/>
      <c r="L113"/>
    </row>
    <row r="114" spans="1:12" hidden="1">
      <c r="A114"/>
      <c r="B114"/>
      <c r="H114"/>
      <c r="I114"/>
      <c r="J114"/>
      <c r="K114"/>
      <c r="L114"/>
    </row>
    <row r="115" spans="1:12" hidden="1">
      <c r="A115"/>
      <c r="B115"/>
      <c r="H115"/>
      <c r="I115"/>
      <c r="J115"/>
      <c r="K115"/>
      <c r="L115"/>
    </row>
    <row r="116" spans="1:12" hidden="1">
      <c r="A116"/>
      <c r="B116"/>
      <c r="H116"/>
      <c r="I116"/>
      <c r="J116"/>
      <c r="K116"/>
      <c r="L116"/>
    </row>
    <row r="117" spans="1:12" hidden="1">
      <c r="A117"/>
      <c r="B117"/>
      <c r="H117"/>
      <c r="I117"/>
      <c r="J117"/>
      <c r="K117"/>
      <c r="L117"/>
    </row>
    <row r="118" spans="1:12" hidden="1">
      <c r="A118"/>
      <c r="B118"/>
      <c r="H118"/>
      <c r="I118"/>
      <c r="J118"/>
      <c r="K118"/>
      <c r="L118"/>
    </row>
    <row r="119" spans="1:12" hidden="1">
      <c r="A119"/>
      <c r="B119"/>
      <c r="H119"/>
      <c r="I119"/>
      <c r="J119"/>
      <c r="K119"/>
      <c r="L119"/>
    </row>
    <row r="120" spans="1:12" hidden="1">
      <c r="A120"/>
      <c r="B120"/>
      <c r="H120"/>
      <c r="I120"/>
      <c r="J120"/>
      <c r="K120"/>
      <c r="L120"/>
    </row>
    <row r="121" spans="1:12" hidden="1">
      <c r="A121"/>
      <c r="B121"/>
      <c r="H121"/>
      <c r="I121"/>
      <c r="J121"/>
      <c r="K121"/>
      <c r="L121"/>
    </row>
    <row r="122" spans="1:12" hidden="1">
      <c r="A122"/>
      <c r="B122"/>
      <c r="H122"/>
      <c r="I122"/>
      <c r="J122"/>
      <c r="K122"/>
      <c r="L122"/>
    </row>
    <row r="123" spans="1:12" hidden="1">
      <c r="A123"/>
      <c r="B123"/>
      <c r="H123"/>
      <c r="I123"/>
      <c r="J123"/>
      <c r="K123"/>
      <c r="L123"/>
    </row>
    <row r="124" spans="1:12" hidden="1">
      <c r="A124"/>
      <c r="B124"/>
      <c r="H124"/>
      <c r="I124"/>
      <c r="J124"/>
      <c r="K124"/>
      <c r="L124"/>
    </row>
    <row r="125" spans="1:12" hidden="1">
      <c r="A125"/>
      <c r="B125"/>
      <c r="H125"/>
      <c r="I125"/>
      <c r="J125"/>
      <c r="K125"/>
      <c r="L125"/>
    </row>
    <row r="126" spans="1:12" hidden="1">
      <c r="A126"/>
      <c r="B126"/>
      <c r="H126"/>
      <c r="I126"/>
      <c r="J126"/>
      <c r="K126"/>
      <c r="L126"/>
    </row>
    <row r="127" spans="1:12" hidden="1">
      <c r="A127"/>
      <c r="B127"/>
      <c r="H127"/>
      <c r="I127"/>
      <c r="J127"/>
      <c r="K127"/>
      <c r="L127"/>
    </row>
    <row r="128" spans="1:12" hidden="1">
      <c r="A128"/>
      <c r="B128"/>
      <c r="H128"/>
      <c r="I128"/>
      <c r="J128"/>
      <c r="K128"/>
      <c r="L128"/>
    </row>
    <row r="129" spans="1:12" hidden="1">
      <c r="A129"/>
      <c r="B129"/>
      <c r="H129"/>
      <c r="I129"/>
      <c r="J129"/>
      <c r="K129"/>
      <c r="L129"/>
    </row>
    <row r="130" spans="1:12" hidden="1">
      <c r="A130"/>
      <c r="B130"/>
      <c r="H130"/>
      <c r="I130"/>
      <c r="J130"/>
      <c r="K130"/>
      <c r="L130"/>
    </row>
    <row r="131" spans="1:12" hidden="1">
      <c r="A131"/>
      <c r="B131"/>
      <c r="H131"/>
      <c r="I131"/>
      <c r="J131"/>
      <c r="K131"/>
      <c r="L131"/>
    </row>
    <row r="132" spans="1:12" hidden="1">
      <c r="A132"/>
      <c r="B132"/>
      <c r="H132"/>
      <c r="I132"/>
      <c r="J132"/>
      <c r="K132"/>
      <c r="L132"/>
    </row>
    <row r="133" spans="1:12" hidden="1">
      <c r="A133"/>
      <c r="B133"/>
      <c r="H133"/>
      <c r="I133"/>
      <c r="J133"/>
      <c r="K133"/>
      <c r="L133"/>
    </row>
    <row r="134" spans="1:12" hidden="1">
      <c r="A134"/>
      <c r="B134"/>
      <c r="H134"/>
      <c r="I134"/>
      <c r="J134"/>
      <c r="K134"/>
      <c r="L134"/>
    </row>
    <row r="135" spans="1:12" hidden="1">
      <c r="A135"/>
      <c r="B135"/>
      <c r="H135"/>
      <c r="I135"/>
      <c r="J135"/>
      <c r="K135"/>
      <c r="L135"/>
    </row>
    <row r="136" spans="1:12" hidden="1">
      <c r="A136"/>
      <c r="B136"/>
      <c r="H136"/>
      <c r="I136"/>
      <c r="J136"/>
      <c r="K136"/>
      <c r="L136"/>
    </row>
    <row r="137" spans="1:12" hidden="1">
      <c r="A137"/>
      <c r="B137"/>
      <c r="H137"/>
      <c r="I137"/>
      <c r="J137"/>
      <c r="K137"/>
      <c r="L137"/>
    </row>
    <row r="138" spans="1:12" hidden="1">
      <c r="A138"/>
      <c r="B138"/>
      <c r="H138"/>
      <c r="I138"/>
      <c r="J138"/>
      <c r="K138"/>
      <c r="L138"/>
    </row>
    <row r="139" spans="1:12" hidden="1">
      <c r="A139"/>
      <c r="B139"/>
      <c r="H139"/>
      <c r="I139"/>
      <c r="J139"/>
      <c r="K139"/>
      <c r="L139"/>
    </row>
    <row r="140" spans="1:12" hidden="1">
      <c r="A140"/>
      <c r="B140"/>
      <c r="H140"/>
      <c r="I140"/>
      <c r="J140"/>
      <c r="K140"/>
      <c r="L140"/>
    </row>
    <row r="141" spans="1:12" hidden="1">
      <c r="A141"/>
      <c r="B141"/>
      <c r="H141"/>
      <c r="I141"/>
      <c r="J141"/>
      <c r="K141"/>
      <c r="L141"/>
    </row>
    <row r="142" spans="1:12" hidden="1">
      <c r="A142"/>
      <c r="B142"/>
      <c r="H142"/>
      <c r="I142"/>
      <c r="J142"/>
      <c r="K142"/>
      <c r="L142"/>
    </row>
    <row r="143" spans="1:12" hidden="1">
      <c r="A143"/>
      <c r="B143"/>
      <c r="H143"/>
      <c r="I143"/>
      <c r="J143"/>
      <c r="K143"/>
      <c r="L143"/>
    </row>
    <row r="144" spans="1:12" hidden="1">
      <c r="A144"/>
      <c r="B144"/>
      <c r="H144"/>
      <c r="I144"/>
      <c r="J144"/>
      <c r="K144"/>
      <c r="L144"/>
    </row>
    <row r="145" spans="1:12" hidden="1">
      <c r="A145"/>
      <c r="B145"/>
      <c r="H145"/>
      <c r="I145"/>
      <c r="J145"/>
      <c r="K145"/>
      <c r="L145"/>
    </row>
    <row r="146" spans="1:12" hidden="1">
      <c r="A146"/>
      <c r="B146"/>
      <c r="H146"/>
      <c r="I146"/>
      <c r="J146"/>
      <c r="K146"/>
      <c r="L146"/>
    </row>
    <row r="147" spans="1:12" hidden="1">
      <c r="A147"/>
      <c r="B147"/>
      <c r="H147"/>
      <c r="I147"/>
      <c r="J147"/>
      <c r="K147"/>
      <c r="L147"/>
    </row>
    <row r="148" spans="1:12" hidden="1">
      <c r="A148"/>
      <c r="B148"/>
      <c r="H148"/>
      <c r="I148"/>
      <c r="J148"/>
      <c r="K148"/>
      <c r="L148"/>
    </row>
    <row r="149" spans="1:12" hidden="1">
      <c r="A149"/>
      <c r="B149"/>
      <c r="H149"/>
      <c r="I149"/>
      <c r="J149"/>
      <c r="K149"/>
      <c r="L149"/>
    </row>
    <row r="150" spans="1:12" hidden="1">
      <c r="A150"/>
      <c r="B150"/>
      <c r="H150"/>
      <c r="I150"/>
      <c r="J150"/>
      <c r="K150"/>
      <c r="L150"/>
    </row>
    <row r="151" spans="1:12" hidden="1">
      <c r="A151"/>
      <c r="B151"/>
      <c r="H151"/>
      <c r="I151"/>
      <c r="J151"/>
      <c r="K151"/>
      <c r="L151"/>
    </row>
    <row r="152" spans="1:12" hidden="1">
      <c r="A152"/>
      <c r="B152"/>
      <c r="H152"/>
      <c r="I152"/>
      <c r="J152"/>
      <c r="K152"/>
      <c r="L152"/>
    </row>
    <row r="153" spans="1:12" hidden="1">
      <c r="A153"/>
      <c r="B153"/>
      <c r="H153"/>
      <c r="I153"/>
      <c r="J153"/>
      <c r="K153"/>
      <c r="L153"/>
    </row>
    <row r="154" spans="1:12" hidden="1">
      <c r="A154"/>
      <c r="B154"/>
      <c r="H154"/>
      <c r="I154"/>
      <c r="J154"/>
      <c r="K154"/>
      <c r="L154"/>
    </row>
    <row r="155" spans="1:12" hidden="1">
      <c r="A155"/>
      <c r="B155"/>
      <c r="H155"/>
      <c r="I155"/>
      <c r="J155"/>
      <c r="K155"/>
      <c r="L155"/>
    </row>
    <row r="156" spans="1:12" hidden="1">
      <c r="A156"/>
      <c r="B156"/>
      <c r="H156"/>
      <c r="I156"/>
      <c r="J156"/>
      <c r="K156"/>
      <c r="L156"/>
    </row>
    <row r="157" spans="1:12" hidden="1">
      <c r="A157"/>
      <c r="B157"/>
      <c r="H157"/>
      <c r="I157"/>
      <c r="J157"/>
      <c r="K157"/>
      <c r="L157"/>
    </row>
    <row r="158" spans="1:12" hidden="1">
      <c r="A158"/>
      <c r="B158"/>
      <c r="H158"/>
      <c r="I158"/>
      <c r="J158"/>
      <c r="K158"/>
      <c r="L158"/>
    </row>
    <row r="159" spans="1:12" hidden="1">
      <c r="A159"/>
      <c r="B159"/>
      <c r="H159"/>
      <c r="I159"/>
      <c r="J159"/>
      <c r="K159"/>
      <c r="L159"/>
    </row>
    <row r="160" spans="1:12" hidden="1">
      <c r="A160"/>
      <c r="B160"/>
      <c r="H160"/>
      <c r="I160"/>
      <c r="J160"/>
      <c r="K160"/>
      <c r="L160"/>
    </row>
    <row r="161" spans="1:12" hidden="1">
      <c r="A161"/>
      <c r="B161"/>
      <c r="H161"/>
      <c r="I161"/>
      <c r="J161"/>
      <c r="K161"/>
      <c r="L161"/>
    </row>
    <row r="162" spans="1:12" hidden="1">
      <c r="A162"/>
      <c r="B162"/>
      <c r="H162"/>
      <c r="I162"/>
      <c r="J162"/>
      <c r="K162"/>
      <c r="L162"/>
    </row>
    <row r="163" spans="1:12" hidden="1">
      <c r="A163"/>
      <c r="B163"/>
      <c r="H163"/>
      <c r="I163"/>
      <c r="J163"/>
      <c r="K163"/>
      <c r="L163"/>
    </row>
    <row r="164" spans="1:12" hidden="1">
      <c r="A164"/>
      <c r="B164"/>
      <c r="H164"/>
      <c r="I164"/>
      <c r="J164"/>
      <c r="K164"/>
      <c r="L164"/>
    </row>
    <row r="165" spans="1:12" hidden="1">
      <c r="A165"/>
      <c r="B165"/>
      <c r="H165"/>
      <c r="I165"/>
      <c r="J165"/>
      <c r="K165"/>
      <c r="L165"/>
    </row>
    <row r="166" spans="1:12" hidden="1">
      <c r="A166"/>
      <c r="B166"/>
      <c r="H166"/>
      <c r="I166"/>
      <c r="J166"/>
      <c r="K166"/>
      <c r="L166"/>
    </row>
    <row r="167" spans="1:12" hidden="1">
      <c r="A167"/>
      <c r="B167"/>
      <c r="H167"/>
      <c r="I167"/>
      <c r="J167"/>
      <c r="K167"/>
      <c r="L167"/>
    </row>
    <row r="168" spans="1:12" hidden="1">
      <c r="A168"/>
      <c r="B168"/>
      <c r="H168"/>
      <c r="I168"/>
      <c r="J168"/>
      <c r="K168"/>
      <c r="L168"/>
    </row>
    <row r="169" spans="1:12" hidden="1">
      <c r="A169"/>
      <c r="B169"/>
      <c r="H169"/>
      <c r="I169"/>
      <c r="J169"/>
      <c r="K169"/>
      <c r="L169"/>
    </row>
    <row r="170" spans="1:12" hidden="1">
      <c r="A170"/>
      <c r="B170"/>
      <c r="H170"/>
      <c r="I170"/>
      <c r="J170"/>
      <c r="K170"/>
      <c r="L170"/>
    </row>
    <row r="171" spans="1:12" hidden="1">
      <c r="A171"/>
      <c r="B171"/>
      <c r="H171"/>
      <c r="I171"/>
      <c r="J171"/>
      <c r="K171"/>
      <c r="L171"/>
    </row>
    <row r="172" spans="1:12" hidden="1">
      <c r="A172"/>
      <c r="B172"/>
      <c r="H172"/>
      <c r="I172"/>
      <c r="J172"/>
      <c r="K172"/>
      <c r="L172"/>
    </row>
  </sheetData>
  <mergeCells count="4">
    <mergeCell ref="C5:G5"/>
    <mergeCell ref="C7:I7"/>
    <mergeCell ref="C4:I4"/>
    <mergeCell ref="C3:I3"/>
  </mergeCells>
  <pageMargins left="0.7" right="0.7" top="0.75" bottom="0.75" header="0.3" footer="0.3"/>
  <pageSetup orientation="portrait" r:id="rId1"/>
  <drawing r:id="rId2"/>
  <legacyDrawing r:id="rId3"/>
  <tableParts count="2">
    <tablePart r:id="rId4"/>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7C5C2-2FB2-4F36-A7FD-7F4036F3FDB0}">
  <sheetPr codeName="Sheet9"/>
  <dimension ref="A1:Q58"/>
  <sheetViews>
    <sheetView workbookViewId="0">
      <selection activeCell="B3" sqref="B3"/>
    </sheetView>
  </sheetViews>
  <sheetFormatPr defaultColWidth="0" defaultRowHeight="15"/>
  <cols>
    <col min="1" max="1" width="4.85546875" style="13" customWidth="1"/>
    <col min="2" max="2" width="5.140625" style="13" customWidth="1"/>
    <col min="3" max="3" width="23.42578125" customWidth="1"/>
    <col min="4" max="4" width="20.42578125" hidden="1" customWidth="1"/>
    <col min="5" max="5" width="26.5703125" customWidth="1"/>
    <col min="6" max="6" width="22.42578125" customWidth="1"/>
    <col min="7" max="7" width="23" customWidth="1"/>
    <col min="8" max="8" width="21.5703125" style="13" customWidth="1"/>
    <col min="9" max="17" width="8.7109375" style="13" customWidth="1"/>
    <col min="18" max="16384" width="8.7109375" hidden="1"/>
  </cols>
  <sheetData>
    <row r="1" spans="3:8" ht="15.75">
      <c r="C1" s="16"/>
      <c r="D1" s="13"/>
      <c r="E1" s="13"/>
      <c r="F1" s="13"/>
      <c r="G1" s="13"/>
    </row>
    <row r="2" spans="3:8" ht="15.75">
      <c r="C2" s="16"/>
      <c r="D2" s="13"/>
      <c r="E2" s="13"/>
      <c r="F2" s="13"/>
      <c r="G2" s="13"/>
    </row>
    <row r="3" spans="3:8" ht="23.25">
      <c r="C3" s="276" t="s">
        <v>0</v>
      </c>
      <c r="D3" s="276"/>
      <c r="E3" s="276"/>
      <c r="F3" s="276"/>
      <c r="G3" s="276"/>
    </row>
    <row r="4" spans="3:8" ht="23.25">
      <c r="C4" s="276" t="s">
        <v>199</v>
      </c>
      <c r="D4" s="276"/>
      <c r="E4" s="276"/>
      <c r="F4" s="276"/>
      <c r="G4" s="276"/>
    </row>
    <row r="5" spans="3:8" ht="18.75">
      <c r="C5" s="279"/>
      <c r="D5" s="279"/>
      <c r="E5" s="279"/>
      <c r="F5" s="279"/>
      <c r="G5" s="279"/>
      <c r="H5" s="192"/>
    </row>
    <row r="6" spans="3:8" ht="9.6" customHeight="1">
      <c r="C6" s="13"/>
      <c r="D6" s="13"/>
      <c r="E6" s="13"/>
      <c r="F6" s="13"/>
      <c r="G6" s="13"/>
    </row>
    <row r="7" spans="3:8">
      <c r="C7" s="13"/>
      <c r="D7" s="13"/>
      <c r="E7" s="13"/>
      <c r="F7" s="13"/>
    </row>
    <row r="8" spans="3:8" ht="18.600000000000001" customHeight="1">
      <c r="C8" s="283" t="s">
        <v>230</v>
      </c>
      <c r="D8" s="283"/>
      <c r="E8" s="283"/>
      <c r="F8" s="283"/>
      <c r="G8" s="283"/>
      <c r="H8" s="192"/>
    </row>
    <row r="9" spans="3:8">
      <c r="C9" s="13"/>
      <c r="D9" s="13"/>
      <c r="E9" s="13"/>
      <c r="F9" s="13"/>
      <c r="G9" s="13"/>
    </row>
    <row r="10" spans="3:8" ht="18.75">
      <c r="C10" s="78" t="s">
        <v>231</v>
      </c>
      <c r="D10" s="13"/>
      <c r="E10" s="13"/>
      <c r="F10" s="13"/>
      <c r="G10" s="13"/>
    </row>
    <row r="11" spans="3:8">
      <c r="C11" s="13"/>
      <c r="D11" s="13"/>
      <c r="E11" s="13"/>
      <c r="F11" s="13"/>
      <c r="G11" s="13"/>
    </row>
    <row r="12" spans="3:8" ht="15.75">
      <c r="C12" s="74" t="s">
        <v>232</v>
      </c>
      <c r="D12" s="216" t="s">
        <v>84</v>
      </c>
      <c r="E12" s="74" t="s">
        <v>133</v>
      </c>
      <c r="F12" s="74" t="s">
        <v>233</v>
      </c>
      <c r="G12" s="75" t="s">
        <v>234</v>
      </c>
    </row>
    <row r="13" spans="3:8" ht="16.5" customHeight="1">
      <c r="C13" s="9" t="s">
        <v>235</v>
      </c>
      <c r="D13" s="6" t="s">
        <v>236</v>
      </c>
      <c r="E13" s="33">
        <f>business_legacy_cost_1_year</f>
        <v>0</v>
      </c>
      <c r="F13" s="10">
        <f>business_legacy_cost_2_year</f>
        <v>0</v>
      </c>
      <c r="G13" s="10">
        <f>business_legacy_cost_3_year</f>
        <v>0</v>
      </c>
    </row>
    <row r="14" spans="3:8" ht="15" customHeight="1">
      <c r="C14" s="9" t="s">
        <v>237</v>
      </c>
      <c r="D14" s="6" t="s">
        <v>238</v>
      </c>
      <c r="E14" s="33">
        <f ca="1">operational_legacy_cost_1_year</f>
        <v>0</v>
      </c>
      <c r="F14" s="10">
        <f ca="1">operational_legacy_cost_2_year</f>
        <v>0</v>
      </c>
      <c r="G14" s="10">
        <f ca="1">operational_legacy_cost_2_year</f>
        <v>0</v>
      </c>
    </row>
    <row r="15" spans="3:8" ht="14.45" customHeight="1">
      <c r="C15" s="38" t="s">
        <v>239</v>
      </c>
      <c r="D15" s="39" t="s">
        <v>240</v>
      </c>
      <c r="E15" s="40">
        <f ca="1">total_legacy_cost_1_year</f>
        <v>0</v>
      </c>
      <c r="F15" s="40">
        <f ca="1">total_legacy_cost_1_year</f>
        <v>0</v>
      </c>
      <c r="G15" s="40">
        <f ca="1">total_legacy_cost_1_year</f>
        <v>0</v>
      </c>
    </row>
    <row r="16" spans="3:8" ht="15" customHeight="1">
      <c r="C16" s="77" t="s">
        <v>241</v>
      </c>
      <c r="D16" s="6" t="s">
        <v>242</v>
      </c>
      <c r="E16" s="33">
        <f>business_cloud_cost_1_year</f>
        <v>0</v>
      </c>
      <c r="F16" s="32">
        <f>business_cloud_cost_2_year</f>
        <v>0</v>
      </c>
      <c r="G16" s="32">
        <f>business_cloud_cost_3_year</f>
        <v>0</v>
      </c>
    </row>
    <row r="17" spans="3:7" ht="14.1" customHeight="1">
      <c r="C17" s="9" t="s">
        <v>243</v>
      </c>
      <c r="D17" s="6" t="s">
        <v>244</v>
      </c>
      <c r="E17" s="33">
        <f>operational_cloud_cost_1_year</f>
        <v>0</v>
      </c>
      <c r="F17" s="32">
        <f>operational_cloud_cost_2_year</f>
        <v>0</v>
      </c>
      <c r="G17" s="32">
        <f>operational_cloud_cost_3_year</f>
        <v>0</v>
      </c>
    </row>
    <row r="18" spans="3:7" ht="15.75">
      <c r="C18" s="38" t="s">
        <v>245</v>
      </c>
      <c r="D18" s="39"/>
      <c r="E18" s="40">
        <f>total_cloud_cost_1_year</f>
        <v>0</v>
      </c>
      <c r="F18" s="40">
        <f>total_cloud_cost_1_year</f>
        <v>0</v>
      </c>
      <c r="G18" s="40">
        <f>total_cloud_cost_1_year</f>
        <v>0</v>
      </c>
    </row>
    <row r="19" spans="3:7">
      <c r="C19" s="13"/>
      <c r="D19" s="13"/>
      <c r="E19" s="13"/>
      <c r="F19" s="13"/>
      <c r="G19" s="13"/>
    </row>
    <row r="20" spans="3:7" ht="18.75">
      <c r="C20" s="78" t="s">
        <v>246</v>
      </c>
      <c r="D20" s="13"/>
      <c r="E20" s="13"/>
      <c r="F20" s="13"/>
      <c r="G20" s="13"/>
    </row>
    <row r="21" spans="3:7">
      <c r="C21" s="13"/>
      <c r="D21" s="13"/>
      <c r="E21" s="13"/>
      <c r="F21" s="13"/>
      <c r="G21" s="13"/>
    </row>
    <row r="22" spans="3:7" ht="15.75">
      <c r="C22" s="74" t="s">
        <v>232</v>
      </c>
      <c r="D22" s="216" t="s">
        <v>84</v>
      </c>
      <c r="E22" s="74" t="s">
        <v>247</v>
      </c>
      <c r="F22" s="74" t="s">
        <v>233</v>
      </c>
      <c r="G22" s="75" t="s">
        <v>234</v>
      </c>
    </row>
    <row r="23" spans="3:7" ht="15" customHeight="1">
      <c r="C23" s="77" t="s">
        <v>241</v>
      </c>
      <c r="D23" s="6" t="s">
        <v>242</v>
      </c>
      <c r="E23" s="33">
        <f>business_cloud_cost_1_year</f>
        <v>0</v>
      </c>
      <c r="F23" s="32">
        <f>business_cloud_cost_2_year</f>
        <v>0</v>
      </c>
      <c r="G23" s="32">
        <f>business_cloud_cost_3_year</f>
        <v>0</v>
      </c>
    </row>
    <row r="24" spans="3:7" ht="15.6" customHeight="1">
      <c r="C24" s="9" t="s">
        <v>235</v>
      </c>
      <c r="D24" s="6" t="s">
        <v>236</v>
      </c>
      <c r="E24" s="33">
        <f>business_legacy_cost_1_year</f>
        <v>0</v>
      </c>
      <c r="F24" s="10">
        <f>business_legacy_cost_2_year</f>
        <v>0</v>
      </c>
      <c r="G24" s="10">
        <f>business_legacy_cost_3_year</f>
        <v>0</v>
      </c>
    </row>
    <row r="25" spans="3:7" ht="16.5" customHeight="1">
      <c r="C25" s="9" t="s">
        <v>243</v>
      </c>
      <c r="D25" s="6" t="s">
        <v>244</v>
      </c>
      <c r="E25" s="33">
        <f>operational_cloud_cost_1_year</f>
        <v>0</v>
      </c>
      <c r="F25" s="32">
        <f>operational_cloud_cost_2_year</f>
        <v>0</v>
      </c>
      <c r="G25" s="32">
        <f>operational_cloud_cost_3_year</f>
        <v>0</v>
      </c>
    </row>
    <row r="26" spans="3:7" ht="15" customHeight="1">
      <c r="C26" s="9" t="s">
        <v>237</v>
      </c>
      <c r="D26" s="6" t="s">
        <v>238</v>
      </c>
      <c r="E26" s="33">
        <f ca="1">operational_legacy_cost_1_year</f>
        <v>0</v>
      </c>
      <c r="F26" s="33">
        <f ca="1">operational_legacy_cost_2_year</f>
        <v>0</v>
      </c>
      <c r="G26" s="33">
        <f ca="1">operational_legacy_cost_3_year</f>
        <v>0</v>
      </c>
    </row>
    <row r="27" spans="3:7" ht="15.75">
      <c r="C27" s="16"/>
      <c r="D27" s="16"/>
      <c r="E27" s="16"/>
      <c r="F27" s="13"/>
      <c r="G27" s="13"/>
    </row>
    <row r="28" spans="3:7" ht="15.75">
      <c r="C28" s="16"/>
      <c r="D28" s="16"/>
      <c r="E28" s="16"/>
      <c r="F28" s="13"/>
      <c r="G28" s="13"/>
    </row>
    <row r="29" spans="3:7" ht="15.75">
      <c r="C29" s="74" t="s">
        <v>232</v>
      </c>
      <c r="D29" s="216" t="s">
        <v>84</v>
      </c>
      <c r="E29" s="74" t="s">
        <v>247</v>
      </c>
      <c r="F29" s="74" t="s">
        <v>233</v>
      </c>
      <c r="G29" s="75" t="s">
        <v>234</v>
      </c>
    </row>
    <row r="30" spans="3:7" ht="15.75">
      <c r="C30" s="9" t="s">
        <v>235</v>
      </c>
      <c r="D30" s="6" t="s">
        <v>236</v>
      </c>
      <c r="E30" s="33">
        <f>business_legacy_cost_1_year</f>
        <v>0</v>
      </c>
      <c r="F30" s="10">
        <f>business_legacy_cost_2_year</f>
        <v>0</v>
      </c>
      <c r="G30" s="10">
        <f>business_legacy_cost_3_year</f>
        <v>0</v>
      </c>
    </row>
    <row r="31" spans="3:7" ht="15.75">
      <c r="C31" s="77" t="s">
        <v>241</v>
      </c>
      <c r="D31" s="6" t="s">
        <v>242</v>
      </c>
      <c r="E31" s="33">
        <f>business_cloud_cost_1_year</f>
        <v>0</v>
      </c>
      <c r="F31" s="32">
        <f>business_cloud_cost_2_year</f>
        <v>0</v>
      </c>
      <c r="G31" s="32">
        <f>business_cloud_cost_3_year</f>
        <v>0</v>
      </c>
    </row>
    <row r="32" spans="3:7" ht="15.75">
      <c r="C32" s="9" t="s">
        <v>237</v>
      </c>
      <c r="D32" s="6" t="s">
        <v>238</v>
      </c>
      <c r="E32" s="33">
        <f ca="1">operational_legacy_cost_1_year</f>
        <v>0</v>
      </c>
      <c r="F32" s="33">
        <f ca="1">operational_legacy_cost_2_year</f>
        <v>0</v>
      </c>
      <c r="G32" s="33">
        <f ca="1">operational_legacy_cost_3_year</f>
        <v>0</v>
      </c>
    </row>
    <row r="33" spans="3:8" ht="15.75">
      <c r="C33" s="9" t="s">
        <v>243</v>
      </c>
      <c r="D33" s="217" t="s">
        <v>244</v>
      </c>
      <c r="E33" s="10">
        <f>operational_cloud_cost_1_year</f>
        <v>0</v>
      </c>
      <c r="F33" s="32">
        <f>operational_cloud_cost_2_year</f>
        <v>0</v>
      </c>
      <c r="G33" s="32">
        <f>operational_cloud_cost_3_year</f>
        <v>0</v>
      </c>
    </row>
    <row r="34" spans="3:8" ht="15.75">
      <c r="C34" s="16"/>
      <c r="D34" s="16"/>
      <c r="E34" s="16"/>
      <c r="F34" s="13"/>
      <c r="G34" s="13"/>
    </row>
    <row r="35" spans="3:8" ht="15.75">
      <c r="C35" s="16"/>
      <c r="D35" s="16"/>
      <c r="E35" s="16"/>
      <c r="F35" s="13"/>
      <c r="G35" s="13"/>
    </row>
    <row r="36" spans="3:8" ht="18.75">
      <c r="C36" s="78" t="s">
        <v>248</v>
      </c>
      <c r="D36" s="13"/>
      <c r="E36" s="13"/>
      <c r="F36" s="13"/>
      <c r="G36" s="13"/>
    </row>
    <row r="37" spans="3:8">
      <c r="C37" s="13"/>
      <c r="D37" s="13"/>
      <c r="E37" s="13"/>
      <c r="F37" s="13"/>
      <c r="G37" s="13"/>
    </row>
    <row r="38" spans="3:8" ht="15.75">
      <c r="C38" s="74" t="s">
        <v>132</v>
      </c>
      <c r="D38" s="74" t="s">
        <v>84</v>
      </c>
      <c r="E38" s="74" t="s">
        <v>249</v>
      </c>
      <c r="F38" s="74" t="s">
        <v>247</v>
      </c>
      <c r="G38" s="74" t="s">
        <v>233</v>
      </c>
      <c r="H38" s="74" t="s">
        <v>234</v>
      </c>
    </row>
    <row r="39" spans="3:8" ht="23.25">
      <c r="C39" s="112" t="s">
        <v>250</v>
      </c>
      <c r="D39" s="4" t="s">
        <v>251</v>
      </c>
      <c r="E39" s="113">
        <f>total_cloud_cost_1_year</f>
        <v>0</v>
      </c>
      <c r="F39" s="114">
        <f ca="1">total_legacy_cost_1_year-total_cloud_cost_1_year</f>
        <v>0</v>
      </c>
      <c r="G39" s="114">
        <f ca="1">total_legacy_cost_2_year-total_cloud_cost_2_year</f>
        <v>0</v>
      </c>
      <c r="H39" s="114">
        <f ca="1">total_legacy_cost_3_year-total_cloud_cost_3_year</f>
        <v>0</v>
      </c>
    </row>
    <row r="40" spans="3:8" ht="15.75">
      <c r="C40" s="118" t="s">
        <v>252</v>
      </c>
      <c r="D40" s="119"/>
      <c r="E40" s="113">
        <f ca="1">total_legacy_cost_1_year</f>
        <v>0</v>
      </c>
      <c r="F40" s="113">
        <f ca="1">total_legacy_cost_1_year</f>
        <v>0</v>
      </c>
      <c r="G40" s="113">
        <f ca="1">total_legacy_cost_2_year</f>
        <v>0</v>
      </c>
      <c r="H40" s="113">
        <f ca="1">total_legacy_cost_3_year</f>
        <v>0</v>
      </c>
    </row>
    <row r="41" spans="3:8" ht="15.75">
      <c r="C41" s="118"/>
      <c r="D41" s="119"/>
      <c r="E41" s="113"/>
      <c r="F41" s="113"/>
      <c r="G41" s="113"/>
      <c r="H41" s="113"/>
    </row>
    <row r="42" spans="3:8">
      <c r="C42" s="13"/>
      <c r="D42" s="13"/>
      <c r="E42" s="13"/>
      <c r="F42" s="13"/>
      <c r="G42" s="13"/>
    </row>
    <row r="43" spans="3:8" ht="15.75">
      <c r="C43" s="126" t="s">
        <v>253</v>
      </c>
      <c r="D43" s="123" t="s">
        <v>254</v>
      </c>
      <c r="E43" s="127" t="s">
        <v>255</v>
      </c>
      <c r="F43" s="13"/>
      <c r="G43" s="13"/>
    </row>
    <row r="44" spans="3:8" ht="15.75">
      <c r="C44" s="16">
        <v>0</v>
      </c>
      <c r="D44" s="16"/>
      <c r="E44" s="115">
        <f ca="1">payback</f>
        <v>0</v>
      </c>
      <c r="F44" s="13"/>
      <c r="G44" s="13"/>
    </row>
    <row r="45" spans="3:8" ht="15.75">
      <c r="C45" s="21">
        <f>total_cloud_cost_1_year</f>
        <v>0</v>
      </c>
      <c r="D45" s="16"/>
      <c r="E45" s="115">
        <f ca="1">payback</f>
        <v>0</v>
      </c>
      <c r="F45" s="13"/>
      <c r="G45" s="13"/>
    </row>
    <row r="46" spans="3:8">
      <c r="C46" s="13"/>
      <c r="D46" s="13"/>
      <c r="E46" s="13"/>
      <c r="F46" s="13"/>
      <c r="G46" s="13"/>
    </row>
    <row r="47" spans="3:8">
      <c r="C47" s="13"/>
      <c r="D47" s="13"/>
      <c r="E47" s="13"/>
      <c r="F47" s="13"/>
      <c r="G47" s="13"/>
    </row>
    <row r="48" spans="3:8">
      <c r="C48" s="13"/>
      <c r="D48" s="13"/>
      <c r="E48" s="13"/>
      <c r="F48" s="13"/>
      <c r="G48" s="13"/>
    </row>
    <row r="49" spans="3:7">
      <c r="C49" s="13"/>
      <c r="D49" s="13"/>
      <c r="E49" s="13"/>
      <c r="F49" s="13"/>
      <c r="G49" s="13"/>
    </row>
    <row r="50" spans="3:7">
      <c r="C50" s="13"/>
      <c r="D50" s="13"/>
      <c r="E50" s="13"/>
      <c r="F50" s="13"/>
      <c r="G50" s="13"/>
    </row>
    <row r="51" spans="3:7">
      <c r="C51" s="13"/>
      <c r="D51" s="13"/>
      <c r="E51" s="13"/>
      <c r="F51" s="13"/>
      <c r="G51" s="13"/>
    </row>
    <row r="52" spans="3:7">
      <c r="C52" s="13"/>
      <c r="D52" s="13"/>
      <c r="E52" s="13"/>
      <c r="F52" s="13"/>
      <c r="G52" s="13"/>
    </row>
    <row r="53" spans="3:7">
      <c r="C53" s="13"/>
      <c r="D53" s="13"/>
      <c r="E53" s="13"/>
      <c r="F53" s="13"/>
      <c r="G53" s="13"/>
    </row>
    <row r="54" spans="3:7">
      <c r="C54" s="13"/>
      <c r="D54" s="13"/>
      <c r="E54" s="13"/>
      <c r="F54" s="13"/>
      <c r="G54" s="13"/>
    </row>
    <row r="55" spans="3:7">
      <c r="C55" s="13"/>
      <c r="D55" s="13"/>
      <c r="E55" s="13"/>
      <c r="F55" s="13"/>
      <c r="G55" s="13"/>
    </row>
    <row r="56" spans="3:7">
      <c r="C56" s="13"/>
      <c r="D56" s="13"/>
      <c r="E56" s="13"/>
      <c r="F56" s="13"/>
      <c r="G56" s="13"/>
    </row>
    <row r="57" spans="3:7">
      <c r="C57" s="13"/>
      <c r="D57" s="13"/>
      <c r="E57" s="13"/>
      <c r="F57" s="13"/>
      <c r="G57" s="13"/>
    </row>
    <row r="58" spans="3:7">
      <c r="C58" s="13"/>
      <c r="D58" s="13"/>
      <c r="E58" s="13"/>
      <c r="F58" s="13"/>
      <c r="G58" s="13"/>
    </row>
  </sheetData>
  <mergeCells count="4">
    <mergeCell ref="C8:G8"/>
    <mergeCell ref="C3:G3"/>
    <mergeCell ref="C4:G4"/>
    <mergeCell ref="C5:G5"/>
  </mergeCells>
  <pageMargins left="0.7" right="0.7" top="0.75" bottom="0.75" header="0.3" footer="0.3"/>
  <drawing r:id="rId1"/>
  <legacy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E6C72-ADA8-4A88-AD8D-0DF8EE2F188A}">
  <sheetPr codeName="Sheet6"/>
  <dimension ref="B3:AD112"/>
  <sheetViews>
    <sheetView zoomScale="70" zoomScaleNormal="70" workbookViewId="0">
      <selection activeCell="A2" sqref="A2"/>
    </sheetView>
  </sheetViews>
  <sheetFormatPr defaultColWidth="8.7109375" defaultRowHeight="15"/>
  <cols>
    <col min="1" max="19" width="8.7109375" style="13"/>
    <col min="20" max="20" width="8.85546875" style="13" customWidth="1"/>
    <col min="21" max="16384" width="8.7109375" style="13"/>
  </cols>
  <sheetData>
    <row r="3" spans="2:30" ht="23.45" customHeight="1">
      <c r="C3" s="276" t="s">
        <v>0</v>
      </c>
      <c r="D3" s="276"/>
      <c r="E3" s="276"/>
      <c r="F3" s="276"/>
      <c r="G3" s="276"/>
      <c r="H3" s="276"/>
      <c r="I3" s="276"/>
      <c r="J3" s="276"/>
      <c r="K3" s="276"/>
      <c r="L3" s="276"/>
      <c r="M3" s="276"/>
      <c r="N3" s="276"/>
      <c r="O3" s="276"/>
      <c r="P3" s="276"/>
      <c r="Q3" s="276"/>
      <c r="R3" s="276"/>
      <c r="S3" s="276"/>
      <c r="T3" s="276"/>
      <c r="U3" s="276"/>
      <c r="V3" s="276"/>
      <c r="W3" s="276"/>
      <c r="X3" s="276"/>
      <c r="Y3" s="276"/>
      <c r="Z3" s="276"/>
      <c r="AA3" s="276"/>
      <c r="AB3" s="276"/>
      <c r="AC3" s="276"/>
      <c r="AD3" s="276"/>
    </row>
    <row r="4" spans="2:30" ht="23.45" customHeight="1">
      <c r="B4" s="276" t="s">
        <v>256</v>
      </c>
      <c r="C4" s="276"/>
      <c r="D4" s="276"/>
      <c r="E4" s="276"/>
      <c r="F4" s="276"/>
      <c r="G4" s="276"/>
      <c r="H4" s="276"/>
      <c r="I4" s="276"/>
      <c r="J4" s="276"/>
      <c r="K4" s="276"/>
      <c r="L4" s="276"/>
      <c r="M4" s="276"/>
      <c r="N4" s="276"/>
      <c r="O4" s="276"/>
      <c r="P4" s="276"/>
      <c r="Q4" s="276"/>
      <c r="R4" s="276"/>
      <c r="S4" s="276"/>
      <c r="T4" s="276"/>
      <c r="U4" s="276"/>
      <c r="V4" s="276"/>
      <c r="W4" s="276"/>
      <c r="X4" s="276"/>
      <c r="Y4" s="276"/>
      <c r="Z4" s="276"/>
      <c r="AA4" s="276"/>
      <c r="AB4" s="276"/>
      <c r="AC4" s="276"/>
      <c r="AD4" s="276"/>
    </row>
    <row r="5" spans="2:30" ht="23.45" customHeight="1">
      <c r="C5" s="153"/>
      <c r="D5" s="153"/>
      <c r="E5" s="153"/>
      <c r="F5" s="153"/>
      <c r="G5" s="153"/>
      <c r="H5" s="153"/>
      <c r="I5" s="153"/>
      <c r="J5" s="153"/>
      <c r="K5" s="153"/>
      <c r="L5" s="153"/>
      <c r="M5" s="153"/>
      <c r="N5" s="153"/>
      <c r="O5" s="153"/>
      <c r="P5" s="153"/>
      <c r="Q5" s="153"/>
      <c r="R5" s="153"/>
      <c r="S5" s="153"/>
      <c r="T5" s="153"/>
      <c r="U5" s="153"/>
      <c r="V5" s="153"/>
      <c r="W5" s="153"/>
      <c r="X5" s="153"/>
      <c r="Y5" s="153"/>
      <c r="Z5" s="153"/>
      <c r="AA5" s="153"/>
      <c r="AB5" s="153"/>
      <c r="AC5" s="153"/>
      <c r="AD5" s="153"/>
    </row>
    <row r="6" spans="2:30" ht="18.600000000000001" customHeight="1">
      <c r="B6" s="58"/>
      <c r="C6" s="221"/>
      <c r="D6" s="221"/>
      <c r="E6" s="221"/>
      <c r="F6" s="221"/>
      <c r="G6" s="221"/>
      <c r="H6" s="221"/>
      <c r="I6" s="221"/>
      <c r="J6" s="221"/>
      <c r="K6" s="221"/>
      <c r="L6" s="221"/>
      <c r="M6" s="221"/>
      <c r="N6" s="221"/>
      <c r="O6" s="221"/>
      <c r="P6" s="221"/>
      <c r="Q6" s="221"/>
      <c r="R6" s="221"/>
      <c r="S6" s="221"/>
      <c r="T6" s="221"/>
      <c r="U6" s="221"/>
      <c r="V6" s="221"/>
      <c r="W6" s="221"/>
      <c r="X6" s="221"/>
      <c r="Y6" s="221"/>
      <c r="Z6" s="221"/>
      <c r="AA6" s="221"/>
      <c r="AB6" s="221"/>
      <c r="AC6" s="221"/>
      <c r="AD6" s="221"/>
    </row>
    <row r="8" spans="2:30" ht="30.95" customHeight="1">
      <c r="B8" s="284" t="s">
        <v>17</v>
      </c>
      <c r="C8" s="284"/>
      <c r="D8" s="284"/>
      <c r="E8" s="224"/>
      <c r="F8" s="225" t="str">
        <f>application_name</f>
        <v xml:space="preserve">  </v>
      </c>
      <c r="G8" s="16"/>
    </row>
    <row r="112" ht="14.1" customHeight="1"/>
  </sheetData>
  <mergeCells count="3">
    <mergeCell ref="B8:D8"/>
    <mergeCell ref="C3:AD3"/>
    <mergeCell ref="B4:AD4"/>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0F31-4660-447B-81F1-02398B9CB2DF}">
  <sheetPr codeName="Sheet8"/>
  <dimension ref="A1:X1048576"/>
  <sheetViews>
    <sheetView zoomScaleNormal="100" workbookViewId="0">
      <selection activeCell="B2" sqref="B2"/>
    </sheetView>
  </sheetViews>
  <sheetFormatPr defaultColWidth="0" defaultRowHeight="23.25" zeroHeight="1"/>
  <cols>
    <col min="1" max="1" width="7.140625" style="16" customWidth="1"/>
    <col min="2" max="2" width="3.85546875" style="16" customWidth="1"/>
    <col min="3" max="3" width="50.42578125" style="72" bestFit="1" customWidth="1"/>
    <col min="4" max="4" width="30.5703125" style="72" hidden="1" customWidth="1"/>
    <col min="5" max="5" width="54.42578125" style="72" customWidth="1"/>
    <col min="6" max="6" width="20.140625" style="16" bestFit="1" customWidth="1"/>
    <col min="7" max="7" width="20.5703125" style="16" customWidth="1"/>
    <col min="8" max="8" width="19.5703125" style="16" customWidth="1"/>
    <col min="9" max="9" width="23.85546875" style="16" customWidth="1"/>
    <col min="10" max="10" width="20.85546875" style="16" hidden="1" customWidth="1"/>
    <col min="11" max="11" width="23.42578125" style="16" customWidth="1"/>
    <col min="12" max="12" width="25" style="16" customWidth="1"/>
    <col min="13" max="13" width="20.140625" style="16" customWidth="1"/>
    <col min="14" max="14" width="23.5703125" style="16" customWidth="1"/>
    <col min="15" max="15" width="23" style="2" customWidth="1"/>
    <col min="16" max="16" width="0.42578125" style="2" customWidth="1"/>
    <col min="17" max="17" width="23.7109375" style="2" customWidth="1"/>
    <col min="18" max="18" width="22.85546875" style="2" customWidth="1"/>
    <col min="19" max="19" width="26" style="2" customWidth="1"/>
    <col min="20" max="20" width="23" style="2" customWidth="1"/>
    <col min="21" max="21" width="19.140625" style="2" customWidth="1"/>
    <col min="22" max="22" width="8.7109375" style="2" customWidth="1"/>
    <col min="23" max="24" width="0" style="2" hidden="1" customWidth="1"/>
    <col min="25" max="16384" width="8.7109375" style="2" hidden="1"/>
  </cols>
  <sheetData>
    <row r="1" spans="3:24" ht="15.75">
      <c r="C1" s="13"/>
      <c r="D1" s="13"/>
      <c r="E1" s="13"/>
      <c r="F1" s="13"/>
      <c r="O1" s="16"/>
      <c r="P1" s="16"/>
      <c r="Q1" s="16"/>
      <c r="R1" s="16"/>
      <c r="S1" s="16"/>
      <c r="T1" s="16"/>
      <c r="U1" s="16"/>
      <c r="V1" s="16"/>
      <c r="W1" s="16"/>
      <c r="X1" s="16"/>
    </row>
    <row r="2" spans="3:24" ht="15.75">
      <c r="C2" s="13"/>
      <c r="D2" s="13"/>
      <c r="E2" s="13"/>
      <c r="F2" s="13"/>
      <c r="O2" s="16"/>
      <c r="P2" s="16"/>
      <c r="Q2" s="16"/>
      <c r="R2" s="16"/>
      <c r="S2" s="16"/>
      <c r="T2" s="16"/>
      <c r="U2" s="16"/>
      <c r="V2" s="16"/>
      <c r="W2" s="16"/>
      <c r="X2" s="16"/>
    </row>
    <row r="3" spans="3:24">
      <c r="C3" s="276" t="s">
        <v>0</v>
      </c>
      <c r="D3" s="276"/>
      <c r="E3" s="276"/>
      <c r="F3" s="276"/>
      <c r="G3" s="276"/>
      <c r="O3" s="16"/>
      <c r="P3" s="16"/>
      <c r="Q3" s="16"/>
      <c r="R3" s="16"/>
      <c r="S3" s="16"/>
      <c r="T3" s="16"/>
      <c r="U3" s="16"/>
      <c r="V3" s="16"/>
      <c r="W3" s="16"/>
      <c r="X3" s="16"/>
    </row>
    <row r="4" spans="3:24" ht="18.600000000000001" customHeight="1">
      <c r="C4" s="276" t="s">
        <v>257</v>
      </c>
      <c r="D4" s="276"/>
      <c r="E4" s="276"/>
      <c r="F4" s="276"/>
      <c r="G4" s="276"/>
      <c r="O4" s="16"/>
      <c r="P4" s="16"/>
      <c r="Q4" s="16"/>
      <c r="R4" s="16"/>
      <c r="S4" s="16"/>
      <c r="T4" s="16"/>
      <c r="U4" s="16"/>
      <c r="V4" s="16"/>
      <c r="W4" s="16"/>
      <c r="X4" s="16"/>
    </row>
    <row r="5" spans="3:24" ht="18.75">
      <c r="C5" s="58"/>
      <c r="D5" s="50"/>
      <c r="E5" s="50"/>
      <c r="F5" s="50"/>
      <c r="G5" s="50"/>
      <c r="H5" s="58"/>
      <c r="O5" s="16"/>
      <c r="P5" s="16"/>
      <c r="Q5" s="16"/>
      <c r="R5" s="16"/>
      <c r="S5" s="16"/>
      <c r="T5" s="16"/>
      <c r="U5" s="16"/>
      <c r="V5" s="16"/>
      <c r="W5" s="16"/>
      <c r="X5" s="16"/>
    </row>
    <row r="6" spans="3:24" ht="15.75">
      <c r="C6" s="14"/>
      <c r="D6" s="16"/>
      <c r="E6" s="16"/>
      <c r="O6" s="16"/>
      <c r="P6" s="16"/>
      <c r="Q6" s="16"/>
      <c r="R6" s="16"/>
      <c r="S6" s="16"/>
      <c r="T6" s="16"/>
      <c r="U6" s="16"/>
      <c r="V6" s="16"/>
      <c r="W6" s="16"/>
      <c r="X6" s="16"/>
    </row>
    <row r="7" spans="3:24" ht="15.75">
      <c r="C7" s="14"/>
      <c r="D7" s="16"/>
      <c r="E7" s="16"/>
      <c r="O7" s="16"/>
      <c r="P7" s="16"/>
      <c r="Q7" s="16"/>
      <c r="R7" s="16"/>
      <c r="S7" s="16"/>
      <c r="T7" s="16"/>
      <c r="U7" s="16"/>
      <c r="V7" s="16"/>
      <c r="W7" s="16"/>
      <c r="X7" s="16"/>
    </row>
    <row r="8" spans="3:24" ht="15.75">
      <c r="C8" s="14" t="s">
        <v>17</v>
      </c>
      <c r="D8" s="14"/>
      <c r="E8" s="131" t="str">
        <f>application_name</f>
        <v xml:space="preserve">  </v>
      </c>
      <c r="O8" s="16"/>
      <c r="P8" s="16"/>
      <c r="Q8" s="16"/>
      <c r="R8" s="16"/>
      <c r="S8" s="16"/>
      <c r="T8" s="16"/>
      <c r="U8" s="16"/>
      <c r="V8" s="16"/>
      <c r="W8" s="16"/>
      <c r="X8" s="16"/>
    </row>
    <row r="9" spans="3:24" ht="15.75">
      <c r="C9" s="14" t="s">
        <v>258</v>
      </c>
      <c r="D9" s="16"/>
      <c r="E9" s="170">
        <f ca="1">savings_in_operational_expenditures_3_year</f>
        <v>0</v>
      </c>
      <c r="O9" s="16"/>
      <c r="P9" s="16"/>
      <c r="Q9" s="16"/>
      <c r="R9" s="16"/>
      <c r="S9" s="16"/>
      <c r="T9" s="16"/>
      <c r="U9" s="16"/>
      <c r="V9" s="16"/>
      <c r="W9" s="16"/>
      <c r="X9" s="16"/>
    </row>
    <row r="10" spans="3:24" ht="15.75">
      <c r="C10" s="14" t="s">
        <v>259</v>
      </c>
      <c r="D10" s="16"/>
      <c r="E10" s="82">
        <f ca="1">ROI_2_year</f>
        <v>0</v>
      </c>
      <c r="O10" s="16"/>
      <c r="P10" s="16"/>
      <c r="Q10" s="16"/>
      <c r="R10" s="16"/>
      <c r="S10" s="16"/>
      <c r="T10" s="16"/>
      <c r="U10" s="16"/>
      <c r="V10" s="16"/>
      <c r="W10" s="16"/>
      <c r="X10" s="16"/>
    </row>
    <row r="11" spans="3:24">
      <c r="C11" s="14" t="s">
        <v>260</v>
      </c>
      <c r="D11" s="16"/>
      <c r="E11" s="169">
        <f>increased_productivity_IT_team_1_year</f>
        <v>0</v>
      </c>
      <c r="I11" s="154" t="s">
        <v>261</v>
      </c>
      <c r="J11" s="154"/>
      <c r="O11" s="16"/>
      <c r="P11" s="16"/>
      <c r="Q11" s="16"/>
      <c r="R11" s="16"/>
      <c r="S11" s="16"/>
      <c r="T11" s="16"/>
      <c r="U11" s="16"/>
      <c r="V11" s="16"/>
      <c r="W11" s="16"/>
      <c r="X11" s="16"/>
    </row>
    <row r="12" spans="3:24" ht="15.75">
      <c r="C12" s="12" t="s">
        <v>262</v>
      </c>
      <c r="D12" s="2"/>
      <c r="E12" s="120">
        <f>initial_investment</f>
        <v>0</v>
      </c>
      <c r="O12" s="16"/>
      <c r="P12" s="16"/>
      <c r="Q12" s="16"/>
      <c r="R12" s="16"/>
      <c r="S12" s="16"/>
      <c r="T12" s="16"/>
      <c r="U12" s="16"/>
      <c r="V12" s="16"/>
      <c r="W12" s="16"/>
      <c r="X12" s="16"/>
    </row>
    <row r="13" spans="3:24" ht="15.75">
      <c r="C13" s="14"/>
      <c r="D13" s="16"/>
      <c r="E13" s="16"/>
      <c r="O13" s="16"/>
      <c r="P13" s="16"/>
      <c r="Q13" s="16"/>
      <c r="R13" s="16"/>
      <c r="S13" s="16"/>
      <c r="T13" s="16"/>
      <c r="U13" s="16"/>
      <c r="V13" s="16"/>
      <c r="W13" s="16"/>
      <c r="X13" s="16"/>
    </row>
    <row r="14" spans="3:24" ht="15.75">
      <c r="C14" s="14"/>
      <c r="D14" s="16"/>
      <c r="E14" s="16"/>
      <c r="O14" s="16"/>
      <c r="P14" s="16"/>
      <c r="Q14" s="16"/>
      <c r="R14" s="16"/>
      <c r="S14" s="16"/>
      <c r="T14" s="16"/>
      <c r="U14" s="16"/>
      <c r="V14" s="16"/>
      <c r="W14" s="16"/>
      <c r="X14" s="16"/>
    </row>
    <row r="15" spans="3:24" ht="15.75">
      <c r="C15" s="121" t="s">
        <v>263</v>
      </c>
      <c r="D15" s="122" t="s">
        <v>84</v>
      </c>
      <c r="E15" s="121" t="s">
        <v>264</v>
      </c>
      <c r="I15" s="73" t="s">
        <v>265</v>
      </c>
      <c r="J15" s="73" t="s">
        <v>84</v>
      </c>
      <c r="K15" s="73" t="s">
        <v>249</v>
      </c>
      <c r="L15" s="73" t="s">
        <v>165</v>
      </c>
      <c r="M15" s="73" t="s">
        <v>166</v>
      </c>
      <c r="N15" s="73" t="s">
        <v>167</v>
      </c>
      <c r="O15" s="16"/>
      <c r="P15" s="16"/>
      <c r="Q15" s="16"/>
      <c r="R15" s="16"/>
      <c r="S15" s="16"/>
      <c r="T15" s="16"/>
      <c r="U15" s="16"/>
      <c r="V15" s="16"/>
      <c r="W15" s="16"/>
    </row>
    <row r="16" spans="3:24" ht="18" customHeight="1">
      <c r="C16" s="14" t="s">
        <v>266</v>
      </c>
      <c r="D16" s="14"/>
      <c r="E16" s="23">
        <f ca="1">IF(MAX(Tabla_ROI_TCO[[#This Row],[0]:[3]])&gt;0,MAX(Tabla_ROI_TCO[[#This Row],[0]:[3]]),0)</f>
        <v>0</v>
      </c>
      <c r="I16" s="2" t="s">
        <v>267</v>
      </c>
      <c r="J16" s="4" t="s">
        <v>268</v>
      </c>
      <c r="K16" s="22">
        <v>0</v>
      </c>
      <c r="L16" s="115">
        <f ca="1">L17-(ABS(K17))</f>
        <v>0</v>
      </c>
      <c r="M16" s="115">
        <f ca="1">M17-(ABS(L17))</f>
        <v>0</v>
      </c>
      <c r="N16" s="115">
        <f ca="1">N17-(ABS(M17))</f>
        <v>0</v>
      </c>
      <c r="O16" s="16"/>
      <c r="P16" s="16"/>
      <c r="Q16" s="16"/>
      <c r="R16" s="16"/>
      <c r="S16" s="16"/>
      <c r="T16" s="16"/>
      <c r="U16" s="16"/>
      <c r="V16" s="16"/>
      <c r="W16" s="16"/>
    </row>
    <row r="17" spans="3:23">
      <c r="C17" s="1" t="s">
        <v>269</v>
      </c>
      <c r="D17" s="4" t="s">
        <v>270</v>
      </c>
      <c r="E17" s="3">
        <f ca="1">ROI_2_year</f>
        <v>0</v>
      </c>
      <c r="I17" s="2" t="s">
        <v>271</v>
      </c>
      <c r="J17" s="2"/>
      <c r="K17" s="117">
        <v>0</v>
      </c>
      <c r="L17" s="3">
        <f ca="1">ROI_1_year</f>
        <v>0</v>
      </c>
      <c r="M17" s="3">
        <f ca="1">ROI_2_year</f>
        <v>0</v>
      </c>
      <c r="N17" s="3">
        <f ca="1">ROI_3_year</f>
        <v>0</v>
      </c>
      <c r="O17" s="16"/>
      <c r="P17" s="16"/>
      <c r="Q17" s="16"/>
      <c r="R17" s="16"/>
      <c r="S17" s="16"/>
      <c r="T17" s="16"/>
      <c r="U17" s="16"/>
      <c r="V17" s="16"/>
      <c r="W17" s="16"/>
    </row>
    <row r="18" spans="3:23">
      <c r="C18" s="1" t="s">
        <v>272</v>
      </c>
      <c r="D18" s="4" t="s">
        <v>273</v>
      </c>
      <c r="E18" s="3">
        <f ca="1">ROI_3_year</f>
        <v>0</v>
      </c>
      <c r="I18" s="16" t="s">
        <v>274</v>
      </c>
      <c r="J18" s="24" t="s">
        <v>161</v>
      </c>
      <c r="K18" s="21"/>
      <c r="L18" s="21">
        <f>total_cloud_cost_1_year</f>
        <v>0</v>
      </c>
      <c r="M18" s="21">
        <f>total_cloud_cost_2_year</f>
        <v>0</v>
      </c>
      <c r="N18" s="21">
        <f>total_cloud_cost_3_year</f>
        <v>0</v>
      </c>
      <c r="O18" s="16"/>
      <c r="P18" s="16"/>
      <c r="Q18" s="16"/>
      <c r="R18" s="16"/>
      <c r="S18" s="16"/>
      <c r="T18" s="16"/>
      <c r="U18" s="16"/>
      <c r="V18" s="16"/>
      <c r="W18" s="16"/>
    </row>
    <row r="19" spans="3:23">
      <c r="C19" s="1"/>
      <c r="D19" s="2"/>
      <c r="E19" s="2"/>
      <c r="I19" s="2" t="s">
        <v>275</v>
      </c>
      <c r="J19" s="4" t="s">
        <v>276</v>
      </c>
      <c r="K19" s="116"/>
      <c r="L19" s="3">
        <f ca="1">IFERROR(initial_investment/earning_from_change_1_year,0)</f>
        <v>0</v>
      </c>
      <c r="M19" s="3">
        <f ca="1">IFERROR(initial_investment/earning_from_change_2_year,0)</f>
        <v>0</v>
      </c>
      <c r="N19" s="3">
        <f ca="1">IFERROR(initial_investment/earning_from_change_3_year,0)</f>
        <v>0</v>
      </c>
      <c r="P19" s="16"/>
      <c r="Q19" s="16"/>
      <c r="R19" s="16"/>
      <c r="S19" s="16"/>
      <c r="T19" s="16"/>
      <c r="U19" s="16"/>
      <c r="V19" s="16"/>
      <c r="W19" s="16"/>
    </row>
    <row r="20" spans="3:23">
      <c r="C20" s="121" t="s">
        <v>277</v>
      </c>
      <c r="D20" s="122" t="s">
        <v>84</v>
      </c>
      <c r="E20" s="121" t="s">
        <v>278</v>
      </c>
      <c r="I20" s="2" t="s">
        <v>250</v>
      </c>
      <c r="J20" s="4" t="s">
        <v>251</v>
      </c>
      <c r="K20" s="21"/>
      <c r="L20" s="19">
        <f ca="1">total_legacy_cost_1_year-total_cloud_cost_1_year</f>
        <v>0</v>
      </c>
      <c r="M20" s="19">
        <f ca="1">total_legacy_cost_2_year-total_cloud_cost_2_year</f>
        <v>0</v>
      </c>
      <c r="N20" s="19">
        <f ca="1">total_legacy_cost_3_year-total_cloud_cost_3_year</f>
        <v>0</v>
      </c>
      <c r="O20" s="16"/>
      <c r="P20" s="16"/>
      <c r="Q20" s="16"/>
      <c r="R20" s="16"/>
      <c r="S20" s="16"/>
      <c r="T20" s="16"/>
      <c r="U20" s="16"/>
      <c r="V20" s="16"/>
      <c r="W20" s="16"/>
    </row>
    <row r="21" spans="3:23" ht="15.75">
      <c r="C21" s="1" t="s">
        <v>279</v>
      </c>
      <c r="D21" s="4" t="s">
        <v>276</v>
      </c>
      <c r="E21" s="3">
        <f ca="1">IFERROR(initial_investment/earning_from_change_2_year,0)</f>
        <v>0</v>
      </c>
      <c r="L21" s="82"/>
      <c r="O21" s="16"/>
      <c r="P21" s="16"/>
      <c r="Q21" s="16"/>
      <c r="R21" s="16"/>
      <c r="S21" s="16"/>
      <c r="T21" s="16"/>
      <c r="U21" s="16"/>
      <c r="V21" s="16"/>
      <c r="W21" s="16"/>
    </row>
    <row r="22" spans="3:23" ht="15.75">
      <c r="C22" s="14" t="s">
        <v>280</v>
      </c>
      <c r="D22" s="4" t="s">
        <v>276</v>
      </c>
      <c r="E22" s="3">
        <f ca="1">IFERROR(initial_investment/earning_from_change_3_year,0)</f>
        <v>0</v>
      </c>
      <c r="O22" s="16"/>
      <c r="P22" s="16"/>
      <c r="Q22" s="16"/>
      <c r="R22" s="16"/>
      <c r="S22" s="16"/>
      <c r="T22" s="16"/>
      <c r="U22" s="124" t="s">
        <v>281</v>
      </c>
      <c r="V22" s="16"/>
      <c r="W22" s="16"/>
    </row>
    <row r="23" spans="3:23" ht="24">
      <c r="C23" s="1" t="s">
        <v>282</v>
      </c>
      <c r="D23" s="4" t="s">
        <v>251</v>
      </c>
      <c r="E23" s="18">
        <f ca="1">total_legacy_cost_1_year-total_cloud_cost_1_year</f>
        <v>0</v>
      </c>
      <c r="I23" s="78" t="s">
        <v>248</v>
      </c>
      <c r="O23" s="16"/>
      <c r="P23" s="16"/>
      <c r="Q23" s="16"/>
      <c r="R23" s="16"/>
      <c r="S23" s="16"/>
      <c r="T23" s="16"/>
      <c r="U23" s="16"/>
      <c r="V23" s="16"/>
      <c r="W23" s="16"/>
    </row>
    <row r="24" spans="3:23" ht="18.75">
      <c r="C24" s="14"/>
      <c r="D24" s="16"/>
      <c r="E24" s="16"/>
      <c r="H24" s="78"/>
      <c r="O24" s="16"/>
      <c r="P24" s="16"/>
      <c r="Q24" s="16"/>
      <c r="R24" s="16"/>
      <c r="S24" s="16"/>
      <c r="T24" s="16"/>
      <c r="U24" s="16"/>
      <c r="V24" s="16"/>
      <c r="W24" s="16"/>
    </row>
    <row r="25" spans="3:23" ht="15.75">
      <c r="C25" s="14"/>
      <c r="D25" s="16"/>
      <c r="E25" s="16"/>
      <c r="O25" s="16"/>
      <c r="P25" s="16"/>
      <c r="Q25" s="16"/>
      <c r="R25" s="16"/>
      <c r="S25" s="16"/>
      <c r="T25" s="16"/>
      <c r="U25" s="16"/>
      <c r="V25" s="16"/>
      <c r="W25" s="16"/>
    </row>
    <row r="26" spans="3:23" ht="15.75">
      <c r="C26" s="14"/>
      <c r="D26" s="16"/>
      <c r="E26" s="16"/>
      <c r="O26" s="16"/>
      <c r="P26" s="16"/>
      <c r="Q26" s="16"/>
      <c r="R26" s="16"/>
      <c r="S26" s="16"/>
      <c r="T26" s="16"/>
      <c r="U26" s="16"/>
      <c r="V26" s="16"/>
      <c r="W26" s="16"/>
    </row>
    <row r="27" spans="3:23" ht="15.75">
      <c r="C27" s="14"/>
      <c r="D27" s="16"/>
      <c r="E27" s="16"/>
      <c r="O27" s="16"/>
      <c r="P27" s="16"/>
      <c r="Q27" s="16"/>
      <c r="R27" s="16"/>
      <c r="S27" s="16"/>
      <c r="T27" s="16"/>
      <c r="U27" s="16"/>
      <c r="V27" s="16"/>
      <c r="W27" s="16"/>
    </row>
    <row r="28" spans="3:23" ht="15.75">
      <c r="C28" s="14"/>
      <c r="D28" s="16"/>
      <c r="E28" s="16"/>
      <c r="O28" s="16"/>
      <c r="P28" s="16"/>
      <c r="Q28" s="16"/>
      <c r="R28" s="16"/>
      <c r="S28" s="16"/>
      <c r="T28" s="16"/>
      <c r="U28" s="16"/>
      <c r="V28" s="16"/>
      <c r="W28" s="16"/>
    </row>
    <row r="29" spans="3:23" ht="15.75">
      <c r="C29" s="14"/>
      <c r="D29" s="16"/>
      <c r="E29" s="16"/>
      <c r="O29" s="16"/>
      <c r="P29" s="16"/>
      <c r="Q29" s="16"/>
      <c r="R29" s="16"/>
      <c r="S29" s="16"/>
      <c r="T29" s="16"/>
      <c r="U29" s="16"/>
      <c r="V29" s="16"/>
      <c r="W29" s="16"/>
    </row>
    <row r="30" spans="3:23">
      <c r="C30" s="270" t="s">
        <v>283</v>
      </c>
      <c r="D30" s="271"/>
      <c r="E30" s="273"/>
      <c r="F30" s="274"/>
      <c r="G30" s="272"/>
      <c r="O30" s="16"/>
      <c r="P30" s="16"/>
      <c r="Q30" s="16"/>
      <c r="R30" s="16"/>
      <c r="S30" s="16"/>
      <c r="T30" s="16"/>
      <c r="U30" s="16"/>
      <c r="V30" s="16"/>
      <c r="W30" s="16"/>
    </row>
    <row r="31" spans="3:23" ht="15.75">
      <c r="C31" s="275" t="s">
        <v>284</v>
      </c>
      <c r="D31" s="16"/>
      <c r="E31" s="16"/>
      <c r="O31" s="16"/>
      <c r="P31" s="16"/>
      <c r="Q31" s="16"/>
      <c r="R31" s="16"/>
      <c r="S31" s="16"/>
      <c r="T31" s="16"/>
      <c r="U31" s="16"/>
      <c r="V31" s="16"/>
      <c r="W31" s="16"/>
    </row>
    <row r="32" spans="3:23" ht="15.75">
      <c r="C32" s="285" t="s">
        <v>285</v>
      </c>
      <c r="D32" s="285"/>
      <c r="E32" s="285"/>
      <c r="F32" s="285"/>
      <c r="O32" s="16"/>
      <c r="P32" s="16"/>
      <c r="Q32" s="16"/>
      <c r="R32" s="16"/>
      <c r="S32" s="16"/>
      <c r="T32" s="16"/>
      <c r="U32" s="16"/>
      <c r="V32" s="16"/>
      <c r="W32" s="16"/>
    </row>
    <row r="33" spans="3:23" ht="31.5">
      <c r="C33" s="34" t="s">
        <v>286</v>
      </c>
      <c r="D33" s="155" t="s">
        <v>84</v>
      </c>
      <c r="E33" s="34" t="s">
        <v>287</v>
      </c>
      <c r="F33" s="34" t="s">
        <v>288</v>
      </c>
      <c r="G33" s="34" t="s">
        <v>289</v>
      </c>
      <c r="O33" s="16"/>
      <c r="P33" s="16"/>
      <c r="Q33" s="16"/>
      <c r="R33" s="16"/>
      <c r="S33" s="16"/>
      <c r="T33" s="16"/>
      <c r="U33" s="16"/>
      <c r="V33" s="16"/>
      <c r="W33" s="16"/>
    </row>
    <row r="34" spans="3:23" ht="15.75">
      <c r="C34" s="269">
        <f>initial_investment</f>
        <v>0</v>
      </c>
      <c r="D34" s="20"/>
      <c r="E34" s="21">
        <f ca="1">(total_legacy_cost_1_year/12)*number_of_months_of_implementation</f>
        <v>0</v>
      </c>
      <c r="F34" s="255">
        <f>cloud_licensing_costs_1_year</f>
        <v>0</v>
      </c>
      <c r="G34" s="171">
        <f ca="1">SUM(Table_implementation_costs_summary_1[[#This Row],[Cost Implementation (Refactoring or Replatform estimated Using AMD estimating template)]:[Cloud cost (on-premise and cloud coexistence)2]])+Table_implementation_costs_summary_1[[#This Row],[Cloud Licensing Costs (1 year)]]</f>
        <v>0</v>
      </c>
      <c r="O34" s="16"/>
      <c r="P34" s="16"/>
      <c r="Q34" s="16"/>
      <c r="R34" s="16"/>
      <c r="S34" s="16"/>
      <c r="T34" s="16"/>
      <c r="U34" s="16"/>
      <c r="V34" s="16"/>
      <c r="W34" s="16"/>
    </row>
    <row r="35" spans="3:23" ht="15.75">
      <c r="C35" s="14"/>
      <c r="D35" s="20"/>
      <c r="E35" s="20"/>
      <c r="F35" s="20"/>
      <c r="O35" s="16"/>
      <c r="P35" s="16"/>
      <c r="Q35" s="16"/>
      <c r="R35" s="16"/>
      <c r="S35" s="16"/>
      <c r="T35" s="16"/>
      <c r="U35" s="16"/>
      <c r="V35" s="16"/>
      <c r="W35" s="16"/>
    </row>
    <row r="36" spans="3:23" ht="15.75">
      <c r="C36" s="286" t="s">
        <v>290</v>
      </c>
      <c r="D36" s="286"/>
      <c r="E36" s="286"/>
      <c r="O36" s="16"/>
      <c r="P36" s="16"/>
      <c r="Q36" s="16"/>
      <c r="R36" s="16"/>
      <c r="S36" s="16"/>
      <c r="T36" s="16"/>
      <c r="U36" s="16"/>
      <c r="V36" s="16"/>
      <c r="W36" s="16"/>
    </row>
    <row r="37" spans="3:23" ht="29.45" customHeight="1">
      <c r="C37" s="199" t="s">
        <v>286</v>
      </c>
      <c r="D37" s="200" t="s">
        <v>84</v>
      </c>
      <c r="E37" s="199" t="s">
        <v>287</v>
      </c>
      <c r="F37" s="201" t="s">
        <v>289</v>
      </c>
      <c r="O37" s="16"/>
      <c r="P37" s="16"/>
      <c r="Q37" s="16"/>
      <c r="R37" s="16"/>
      <c r="S37" s="16"/>
      <c r="T37" s="16"/>
      <c r="U37" s="16"/>
      <c r="V37" s="16"/>
      <c r="W37" s="16"/>
    </row>
    <row r="38" spans="3:23" ht="15.75">
      <c r="C38" s="268">
        <f>initial_investment</f>
        <v>0</v>
      </c>
      <c r="D38" s="202"/>
      <c r="E38" s="202">
        <f ca="1">(total_legacy_cost_1_year/12)*number_of_months_of_implementation</f>
        <v>0</v>
      </c>
      <c r="F38" s="203">
        <f ca="1">SUM(C38:E38)</f>
        <v>0</v>
      </c>
      <c r="O38" s="16"/>
      <c r="P38" s="16"/>
      <c r="Q38" s="16"/>
      <c r="R38" s="16"/>
      <c r="S38" s="16"/>
      <c r="T38" s="16"/>
      <c r="U38" s="16"/>
      <c r="V38" s="16"/>
      <c r="W38" s="16"/>
    </row>
    <row r="39" spans="3:23" ht="15.75">
      <c r="C39" s="14"/>
      <c r="D39" s="14"/>
      <c r="E39" s="14"/>
      <c r="O39" s="16"/>
      <c r="P39" s="16"/>
      <c r="Q39" s="16"/>
      <c r="R39" s="16"/>
      <c r="S39" s="16"/>
      <c r="T39" s="16"/>
      <c r="U39" s="16"/>
      <c r="V39" s="16"/>
      <c r="W39" s="16"/>
    </row>
    <row r="40" spans="3:23" ht="15.75">
      <c r="C40" s="14"/>
      <c r="D40" s="14"/>
      <c r="E40" s="14"/>
      <c r="O40" s="16"/>
      <c r="P40" s="16"/>
      <c r="Q40" s="16"/>
      <c r="R40" s="16"/>
      <c r="S40" s="16"/>
      <c r="T40" s="16"/>
      <c r="U40" s="16"/>
      <c r="V40" s="16"/>
      <c r="W40" s="16"/>
    </row>
    <row r="41" spans="3:23">
      <c r="C41" s="14"/>
      <c r="D41" s="14"/>
      <c r="E41" s="14"/>
      <c r="F41" s="154"/>
      <c r="O41" s="16"/>
      <c r="P41" s="16"/>
      <c r="Q41" s="16"/>
      <c r="R41" s="16"/>
      <c r="S41" s="16"/>
      <c r="T41" s="16"/>
      <c r="U41" s="16"/>
      <c r="V41" s="16"/>
      <c r="W41" s="16"/>
    </row>
    <row r="42" spans="3:23">
      <c r="F42" s="72"/>
      <c r="O42" s="16"/>
      <c r="P42" s="16"/>
      <c r="Q42" s="16"/>
      <c r="R42" s="16"/>
      <c r="S42" s="16"/>
      <c r="T42" s="16"/>
      <c r="U42" s="16"/>
      <c r="V42" s="16"/>
      <c r="W42" s="16"/>
    </row>
    <row r="43" spans="3:23">
      <c r="O43" s="16"/>
      <c r="P43" s="16"/>
      <c r="Q43" s="16"/>
      <c r="R43" s="16"/>
      <c r="S43" s="16"/>
      <c r="T43" s="16"/>
      <c r="U43" s="16"/>
      <c r="V43" s="16"/>
    </row>
    <row r="44" spans="3:23" ht="18.600000000000001" customHeight="1">
      <c r="O44" s="16"/>
      <c r="P44" s="16"/>
      <c r="Q44" s="16"/>
      <c r="R44" s="16"/>
      <c r="S44" s="16"/>
      <c r="T44" s="16"/>
      <c r="U44" s="16"/>
      <c r="V44" s="16"/>
    </row>
    <row r="45" spans="3:23">
      <c r="F45" s="72"/>
      <c r="O45" s="16"/>
      <c r="P45" s="16"/>
      <c r="Q45" s="16"/>
      <c r="R45" s="16"/>
      <c r="S45" s="16"/>
      <c r="T45" s="16"/>
      <c r="U45" s="16"/>
      <c r="V45" s="16"/>
      <c r="W45" s="16"/>
    </row>
    <row r="46" spans="3:23">
      <c r="O46" s="16"/>
      <c r="P46" s="16"/>
      <c r="Q46" s="16"/>
      <c r="R46" s="16"/>
      <c r="S46" s="16"/>
      <c r="T46" s="16"/>
      <c r="U46" s="16"/>
      <c r="V46" s="16"/>
      <c r="W46" s="16"/>
    </row>
    <row r="47" spans="3:23">
      <c r="O47" s="16"/>
      <c r="P47" s="16"/>
      <c r="Q47" s="16"/>
      <c r="R47" s="16"/>
      <c r="S47" s="16"/>
      <c r="T47" s="16"/>
      <c r="U47" s="16"/>
      <c r="V47" s="16"/>
      <c r="W47" s="16"/>
    </row>
    <row r="48" spans="3:23">
      <c r="O48" s="16"/>
      <c r="P48" s="16"/>
      <c r="Q48" s="16"/>
      <c r="R48" s="16"/>
      <c r="S48" s="16"/>
      <c r="T48" s="16"/>
      <c r="U48" s="16"/>
      <c r="V48" s="16"/>
      <c r="W48" s="16"/>
    </row>
    <row r="49" spans="15:23" ht="14.45" customHeight="1">
      <c r="O49" s="16"/>
      <c r="P49" s="16"/>
      <c r="Q49" s="16"/>
      <c r="R49" s="16"/>
      <c r="S49" s="16"/>
      <c r="T49" s="16"/>
      <c r="U49" s="16"/>
      <c r="V49" s="16"/>
      <c r="W49" s="16"/>
    </row>
    <row r="50" spans="15:23">
      <c r="O50" s="16"/>
      <c r="P50" s="16"/>
      <c r="Q50" s="16"/>
      <c r="R50" s="16"/>
      <c r="S50" s="16"/>
      <c r="T50" s="16"/>
      <c r="U50" s="16"/>
      <c r="V50" s="16"/>
      <c r="W50" s="16"/>
    </row>
    <row r="51" spans="15:23">
      <c r="O51" s="16"/>
      <c r="P51" s="16"/>
      <c r="Q51" s="16"/>
      <c r="R51" s="16"/>
      <c r="S51" s="16"/>
      <c r="T51" s="16"/>
      <c r="U51" s="16"/>
      <c r="V51" s="16"/>
      <c r="W51" s="16"/>
    </row>
    <row r="52" spans="15:23">
      <c r="O52" s="16"/>
      <c r="P52" s="16"/>
      <c r="Q52" s="16"/>
      <c r="R52" s="16"/>
      <c r="S52" s="16"/>
      <c r="T52" s="16"/>
      <c r="U52" s="16"/>
      <c r="V52" s="16"/>
      <c r="W52" s="16"/>
    </row>
    <row r="53" spans="15:23">
      <c r="O53" s="16"/>
      <c r="P53" s="16"/>
      <c r="Q53" s="16"/>
      <c r="R53" s="16"/>
      <c r="S53" s="16"/>
      <c r="T53" s="16"/>
      <c r="U53" s="16"/>
      <c r="V53" s="16"/>
      <c r="W53" s="16"/>
    </row>
    <row r="54" spans="15:23">
      <c r="O54" s="16"/>
      <c r="P54" s="16"/>
      <c r="Q54" s="16"/>
      <c r="R54" s="16"/>
      <c r="S54" s="16"/>
      <c r="T54" s="16"/>
      <c r="U54" s="16"/>
      <c r="V54" s="16"/>
      <c r="W54" s="16"/>
    </row>
    <row r="55" spans="15:23">
      <c r="O55" s="16"/>
      <c r="P55" s="16"/>
      <c r="Q55" s="16"/>
      <c r="R55" s="16"/>
      <c r="S55" s="16"/>
      <c r="T55" s="16"/>
      <c r="U55" s="16"/>
      <c r="V55" s="16"/>
      <c r="W55" s="16"/>
    </row>
    <row r="56" spans="15:23">
      <c r="O56" s="16"/>
      <c r="P56" s="16"/>
      <c r="Q56" s="16"/>
      <c r="R56" s="16"/>
      <c r="S56" s="16"/>
      <c r="T56" s="16"/>
      <c r="U56" s="16"/>
      <c r="V56" s="16"/>
      <c r="W56" s="16"/>
    </row>
    <row r="57" spans="15:23" ht="26.45" customHeight="1">
      <c r="O57" s="16"/>
      <c r="P57" s="16"/>
      <c r="Q57" s="16"/>
      <c r="R57" s="16"/>
      <c r="S57" s="16"/>
      <c r="T57" s="16"/>
      <c r="U57" s="16"/>
      <c r="V57" s="16"/>
      <c r="W57" s="16"/>
    </row>
    <row r="58" spans="15:23" ht="15" hidden="1" customHeight="1"/>
    <row r="73" ht="15" hidden="1" customHeight="1"/>
    <row r="1048562" spans="3:5" ht="18.600000000000001" customHeight="1"/>
    <row r="1048563" spans="3:5" ht="17.100000000000001" customHeight="1"/>
    <row r="1048564" spans="3:5" ht="14.45" customHeight="1"/>
    <row r="1048565" spans="3:5" ht="15.6" customHeight="1"/>
    <row r="1048566" spans="3:5" ht="19.5" customHeight="1"/>
    <row r="1048567" spans="3:5"/>
    <row r="1048568" spans="3:5" ht="15.6" customHeight="1"/>
    <row r="1048569" spans="3:5" ht="15.95" customHeight="1"/>
    <row r="1048570" spans="3:5" ht="17.100000000000001" customHeight="1"/>
    <row r="1048571" spans="3:5" ht="15" customHeight="1"/>
    <row r="1048572" spans="3:5" ht="15" customHeight="1">
      <c r="C1048572" s="16"/>
      <c r="D1048572" s="70"/>
      <c r="E1048572" s="16"/>
    </row>
    <row r="1048573" spans="3:5" ht="14.45" customHeight="1">
      <c r="C1048573" s="16"/>
      <c r="D1048573" s="70"/>
      <c r="E1048573" s="16"/>
    </row>
    <row r="1048574" spans="3:5" ht="13.5" customHeight="1">
      <c r="C1048574" s="16"/>
      <c r="D1048574" s="70"/>
      <c r="E1048574" s="16"/>
    </row>
    <row r="1048575" spans="3:5" ht="15.75">
      <c r="C1048575" s="16"/>
      <c r="D1048575" s="70"/>
      <c r="E1048575" s="16"/>
    </row>
    <row r="1048576" spans="3:5" ht="15.75">
      <c r="C1048576" s="16"/>
      <c r="D1048576" s="70"/>
      <c r="E1048576" s="16"/>
    </row>
  </sheetData>
  <mergeCells count="4">
    <mergeCell ref="C32:F32"/>
    <mergeCell ref="C36:E36"/>
    <mergeCell ref="C4:G4"/>
    <mergeCell ref="C3:G3"/>
  </mergeCells>
  <pageMargins left="0.7" right="0.7" top="0.75" bottom="0.75" header="0.3" footer="0.3"/>
  <pageSetup orientation="portrait" r:id="rId1"/>
  <drawing r:id="rId2"/>
  <legacyDrawing r:id="rId3"/>
  <tableParts count="5">
    <tablePart r:id="rId4"/>
    <tablePart r:id="rId5"/>
    <tablePart r:id="rId6"/>
    <tablePart r:id="rId7"/>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D129C-69E0-4A0A-8D75-5925D4FCE235}">
  <sheetPr codeName="Sheet12"/>
  <dimension ref="A1:CY3"/>
  <sheetViews>
    <sheetView workbookViewId="0">
      <selection activeCell="H18" sqref="H18"/>
    </sheetView>
  </sheetViews>
  <sheetFormatPr defaultRowHeight="15"/>
  <cols>
    <col min="1" max="1" width="13" customWidth="1"/>
    <col min="2" max="2" width="21" customWidth="1"/>
    <col min="3" max="3" width="17.140625" customWidth="1"/>
    <col min="4" max="4" width="18.140625" customWidth="1"/>
    <col min="5" max="7" width="18.28515625" customWidth="1"/>
    <col min="8" max="8" width="20" customWidth="1"/>
    <col min="9" max="9" width="21.140625" customWidth="1"/>
    <col min="10" max="10" width="18.42578125" customWidth="1"/>
    <col min="11" max="11" width="19.7109375" customWidth="1"/>
    <col min="12" max="12" width="17.85546875" customWidth="1"/>
    <col min="13" max="13" width="15.140625" bestFit="1" customWidth="1"/>
    <col min="14" max="15" width="17.85546875" bestFit="1" customWidth="1"/>
    <col min="16" max="16" width="21.140625" customWidth="1"/>
    <col min="17" max="17" width="18.42578125" customWidth="1"/>
    <col min="18" max="19" width="16.85546875" customWidth="1"/>
    <col min="20" max="20" width="16.28515625" customWidth="1"/>
    <col min="21" max="21" width="17.85546875" bestFit="1" customWidth="1"/>
    <col min="22" max="22" width="21.140625" customWidth="1"/>
    <col min="23" max="23" width="21.85546875" customWidth="1"/>
    <col min="24" max="24" width="16.42578125" customWidth="1"/>
    <col min="25" max="25" width="18.85546875" customWidth="1"/>
    <col min="26" max="26" width="18" customWidth="1"/>
    <col min="27" max="27" width="15.140625" customWidth="1"/>
    <col min="28" max="28" width="18.140625" customWidth="1"/>
    <col min="29" max="29" width="12.28515625" customWidth="1"/>
    <col min="30" max="30" width="12.5703125" customWidth="1"/>
    <col min="31" max="31" width="11.28515625" customWidth="1"/>
    <col min="32" max="32" width="17.5703125" customWidth="1"/>
    <col min="33" max="33" width="18.140625" customWidth="1"/>
    <col min="34" max="34" width="19.140625" customWidth="1"/>
    <col min="35" max="35" width="25.140625" customWidth="1"/>
    <col min="36" max="39" width="20.5703125" customWidth="1"/>
    <col min="40" max="40" width="17.7109375" customWidth="1"/>
    <col min="41" max="41" width="16.42578125" customWidth="1"/>
    <col min="42" max="42" width="13.85546875" bestFit="1" customWidth="1"/>
    <col min="43" max="44" width="17.85546875" bestFit="1" customWidth="1"/>
    <col min="45" max="45" width="21.5703125" customWidth="1"/>
    <col min="46" max="46" width="18.7109375" customWidth="1"/>
    <col min="47" max="47" width="15.140625" bestFit="1" customWidth="1"/>
    <col min="48" max="48" width="17.85546875" customWidth="1"/>
    <col min="49" max="49" width="22.140625" customWidth="1"/>
    <col min="50" max="50" width="17.85546875" bestFit="1" customWidth="1"/>
    <col min="51" max="51" width="13.5703125" customWidth="1"/>
    <col min="52" max="52" width="17.85546875" customWidth="1"/>
    <col min="53" max="53" width="16.140625" bestFit="1" customWidth="1"/>
    <col min="54" max="54" width="20.28515625" customWidth="1"/>
    <col min="55" max="55" width="15.140625" customWidth="1"/>
    <col min="56" max="56" width="15.5703125" customWidth="1"/>
    <col min="57" max="57" width="21.140625" customWidth="1"/>
    <col min="58" max="58" width="10.7109375" customWidth="1"/>
    <col min="59" max="59" width="12.42578125" customWidth="1"/>
    <col min="60" max="60" width="17.7109375" customWidth="1"/>
    <col min="61" max="61" width="17.85546875" bestFit="1" customWidth="1"/>
    <col min="62" max="62" width="14.140625" bestFit="1" customWidth="1"/>
    <col min="63" max="63" width="16.42578125" bestFit="1" customWidth="1"/>
    <col min="64" max="64" width="12.85546875" bestFit="1" customWidth="1"/>
    <col min="65" max="65" width="17.85546875" bestFit="1" customWidth="1"/>
    <col min="66" max="66" width="15.140625" bestFit="1" customWidth="1"/>
    <col min="67" max="67" width="16.42578125" bestFit="1" customWidth="1"/>
    <col min="68" max="71" width="18.85546875" customWidth="1"/>
    <col min="72" max="73" width="17.85546875" bestFit="1" customWidth="1"/>
    <col min="74" max="74" width="20.140625" customWidth="1"/>
    <col min="75" max="75" width="20.5703125" customWidth="1"/>
    <col min="76" max="76" width="18.5703125" customWidth="1"/>
    <col min="77" max="77" width="19.42578125" customWidth="1"/>
    <col min="78" max="78" width="16.42578125" bestFit="1" customWidth="1"/>
    <col min="79" max="79" width="17.85546875" bestFit="1" customWidth="1"/>
    <col min="80" max="80" width="19.140625" customWidth="1"/>
    <col min="81" max="81" width="19.7109375" customWidth="1"/>
    <col min="82" max="82" width="16.140625" bestFit="1" customWidth="1"/>
    <col min="83" max="83" width="15.5703125" customWidth="1"/>
    <col min="84" max="84" width="20.140625" customWidth="1"/>
    <col min="85" max="85" width="22.42578125" customWidth="1"/>
    <col min="86" max="86" width="13.5703125" customWidth="1"/>
    <col min="87" max="87" width="11.140625" customWidth="1"/>
    <col min="88" max="88" width="18.140625" customWidth="1"/>
    <col min="89" max="89" width="16.85546875" customWidth="1"/>
    <col min="90" max="90" width="14.42578125" customWidth="1"/>
    <col min="91" max="91" width="16" customWidth="1"/>
    <col min="92" max="92" width="16.5703125" customWidth="1"/>
    <col min="95" max="95" width="16.140625" customWidth="1"/>
    <col min="96" max="96" width="14.7109375" customWidth="1"/>
    <col min="100" max="100" width="19" customWidth="1"/>
    <col min="101" max="101" width="16.85546875" customWidth="1"/>
    <col min="102" max="102" width="20.5703125" customWidth="1"/>
    <col min="103" max="103" width="15.85546875" customWidth="1"/>
  </cols>
  <sheetData>
    <row r="1" spans="1:103">
      <c r="A1" s="287" t="s">
        <v>291</v>
      </c>
      <c r="B1" s="287"/>
      <c r="C1" s="287"/>
      <c r="D1" s="287"/>
      <c r="E1" s="287"/>
      <c r="F1" s="256"/>
      <c r="G1" s="256"/>
      <c r="H1" s="293" t="s">
        <v>292</v>
      </c>
      <c r="I1" s="293"/>
      <c r="J1" s="293"/>
      <c r="K1" s="293"/>
      <c r="L1" s="293"/>
      <c r="M1" s="293"/>
      <c r="N1" s="293"/>
      <c r="O1" s="293"/>
      <c r="P1" s="293"/>
      <c r="Q1" s="293"/>
      <c r="R1" s="293"/>
      <c r="S1" s="293"/>
      <c r="T1" s="293"/>
      <c r="U1" s="293"/>
      <c r="V1" s="293"/>
      <c r="W1" s="293"/>
      <c r="X1" s="293"/>
      <c r="Y1" s="293"/>
      <c r="Z1" s="293"/>
      <c r="AA1" s="293"/>
      <c r="AB1" s="293"/>
      <c r="AC1" s="293"/>
      <c r="AD1" s="293"/>
      <c r="AE1" s="293"/>
      <c r="AF1" s="293"/>
      <c r="AG1" s="293"/>
      <c r="AH1" s="293"/>
      <c r="AI1" s="293"/>
      <c r="AJ1" s="293"/>
      <c r="AK1" s="293"/>
      <c r="AL1" s="293"/>
      <c r="AM1" s="294"/>
      <c r="AN1" s="290" t="s">
        <v>106</v>
      </c>
      <c r="AO1" s="291"/>
      <c r="AP1" s="291"/>
      <c r="AQ1" s="291"/>
      <c r="AR1" s="291"/>
      <c r="AS1" s="291"/>
      <c r="AT1" s="291"/>
      <c r="AU1" s="291"/>
      <c r="AV1" s="291"/>
      <c r="AW1" s="291"/>
      <c r="AX1" s="291"/>
      <c r="AY1" s="291"/>
      <c r="AZ1" s="291"/>
      <c r="BA1" s="291"/>
      <c r="BB1" s="291"/>
      <c r="BC1" s="291"/>
      <c r="BD1" s="291"/>
      <c r="BE1" s="291"/>
      <c r="BF1" s="291"/>
      <c r="BG1" s="291"/>
      <c r="BH1" s="291"/>
      <c r="BI1" s="291"/>
      <c r="BJ1" s="291"/>
      <c r="BK1" s="291"/>
      <c r="BL1" s="291"/>
      <c r="BM1" s="291"/>
      <c r="BN1" s="291"/>
      <c r="BO1" s="291"/>
      <c r="BP1" s="291"/>
      <c r="BQ1" s="291"/>
      <c r="BR1" s="291"/>
      <c r="BS1" s="292"/>
      <c r="BT1" s="288" t="s">
        <v>293</v>
      </c>
      <c r="BU1" s="289"/>
      <c r="BV1" s="289"/>
      <c r="BW1" s="289"/>
      <c r="BX1" s="289"/>
      <c r="BY1" s="289"/>
      <c r="BZ1" s="289"/>
      <c r="CA1" s="289"/>
      <c r="CB1" s="289"/>
      <c r="CC1" s="289"/>
      <c r="CD1" s="289"/>
      <c r="CE1" s="289"/>
      <c r="CF1" s="289"/>
      <c r="CG1" s="289"/>
      <c r="CH1" s="289"/>
      <c r="CI1" s="289"/>
      <c r="CJ1" s="289"/>
      <c r="CK1" s="289"/>
      <c r="CL1" s="289"/>
      <c r="CM1" s="289"/>
      <c r="CN1" s="289"/>
      <c r="CO1" s="289"/>
      <c r="CP1" s="289"/>
      <c r="CQ1" s="289"/>
      <c r="CR1" s="289"/>
      <c r="CS1" s="289"/>
      <c r="CT1" s="289"/>
      <c r="CU1" s="289"/>
      <c r="CV1" s="289"/>
      <c r="CW1" s="289"/>
      <c r="CX1" s="289"/>
      <c r="CY1" s="289"/>
    </row>
    <row r="2" spans="1:103" ht="41.45" customHeight="1">
      <c r="A2" s="229" t="s">
        <v>294</v>
      </c>
      <c r="B2" s="229" t="s">
        <v>295</v>
      </c>
      <c r="C2" s="229" t="s">
        <v>296</v>
      </c>
      <c r="D2" s="229" t="s">
        <v>297</v>
      </c>
      <c r="E2" s="229" t="s">
        <v>255</v>
      </c>
      <c r="F2" s="229" t="s">
        <v>298</v>
      </c>
      <c r="G2" s="229" t="s">
        <v>299</v>
      </c>
      <c r="H2" s="229" t="s">
        <v>300</v>
      </c>
      <c r="I2" s="229" t="s">
        <v>301</v>
      </c>
      <c r="J2" s="229" t="s">
        <v>302</v>
      </c>
      <c r="K2" s="229" t="s">
        <v>303</v>
      </c>
      <c r="L2" s="229" t="s">
        <v>304</v>
      </c>
      <c r="M2" s="229" t="s">
        <v>305</v>
      </c>
      <c r="N2" s="229" t="s">
        <v>306</v>
      </c>
      <c r="O2" s="229" t="s">
        <v>307</v>
      </c>
      <c r="P2" s="229" t="s">
        <v>308</v>
      </c>
      <c r="Q2" s="229" t="s">
        <v>309</v>
      </c>
      <c r="R2" s="229" t="s">
        <v>310</v>
      </c>
      <c r="S2" s="229" t="s">
        <v>311</v>
      </c>
      <c r="T2" s="229" t="s">
        <v>312</v>
      </c>
      <c r="U2" s="229" t="s">
        <v>313</v>
      </c>
      <c r="V2" s="229" t="s">
        <v>314</v>
      </c>
      <c r="W2" s="229" t="s">
        <v>315</v>
      </c>
      <c r="X2" s="229" t="s">
        <v>316</v>
      </c>
      <c r="Y2" s="229" t="s">
        <v>317</v>
      </c>
      <c r="Z2" s="229" t="s">
        <v>318</v>
      </c>
      <c r="AA2" s="229" t="s">
        <v>319</v>
      </c>
      <c r="AB2" s="229" t="s">
        <v>320</v>
      </c>
      <c r="AC2" s="229" t="s">
        <v>321</v>
      </c>
      <c r="AD2" s="229" t="s">
        <v>322</v>
      </c>
      <c r="AE2" s="229" t="s">
        <v>176</v>
      </c>
      <c r="AF2" s="229" t="s">
        <v>180</v>
      </c>
      <c r="AG2" s="229" t="s">
        <v>193</v>
      </c>
      <c r="AH2" s="229" t="s">
        <v>323</v>
      </c>
      <c r="AI2" s="229" t="s">
        <v>185</v>
      </c>
      <c r="AJ2" s="229" t="s">
        <v>202</v>
      </c>
      <c r="AK2" s="229" t="s">
        <v>324</v>
      </c>
      <c r="AL2" s="229" t="s">
        <v>203</v>
      </c>
      <c r="AM2" s="229" t="s">
        <v>325</v>
      </c>
      <c r="AN2" s="229" t="s">
        <v>300</v>
      </c>
      <c r="AO2" s="229" t="s">
        <v>301</v>
      </c>
      <c r="AP2" s="229" t="s">
        <v>302</v>
      </c>
      <c r="AQ2" s="229" t="s">
        <v>303</v>
      </c>
      <c r="AR2" s="229" t="s">
        <v>304</v>
      </c>
      <c r="AS2" s="229" t="s">
        <v>305</v>
      </c>
      <c r="AT2" s="229" t="s">
        <v>306</v>
      </c>
      <c r="AU2" s="229" t="s">
        <v>307</v>
      </c>
      <c r="AV2" s="229" t="s">
        <v>308</v>
      </c>
      <c r="AW2" s="229" t="s">
        <v>309</v>
      </c>
      <c r="AX2" s="229" t="s">
        <v>310</v>
      </c>
      <c r="AY2" s="229" t="s">
        <v>311</v>
      </c>
      <c r="AZ2" s="229" t="s">
        <v>312</v>
      </c>
      <c r="BA2" s="229" t="s">
        <v>313</v>
      </c>
      <c r="BB2" s="229" t="s">
        <v>314</v>
      </c>
      <c r="BC2" s="229" t="s">
        <v>315</v>
      </c>
      <c r="BD2" s="229" t="s">
        <v>316</v>
      </c>
      <c r="BE2" s="229" t="s">
        <v>317</v>
      </c>
      <c r="BF2" s="229" t="s">
        <v>318</v>
      </c>
      <c r="BG2" s="229" t="s">
        <v>319</v>
      </c>
      <c r="BH2" s="229" t="s">
        <v>320</v>
      </c>
      <c r="BI2" s="229" t="s">
        <v>321</v>
      </c>
      <c r="BJ2" s="229" t="s">
        <v>322</v>
      </c>
      <c r="BK2" s="229" t="s">
        <v>176</v>
      </c>
      <c r="BL2" s="229" t="s">
        <v>180</v>
      </c>
      <c r="BM2" s="229" t="s">
        <v>193</v>
      </c>
      <c r="BN2" s="229" t="s">
        <v>323</v>
      </c>
      <c r="BO2" s="229" t="s">
        <v>185</v>
      </c>
      <c r="BP2" s="229" t="s">
        <v>202</v>
      </c>
      <c r="BQ2" s="229" t="s">
        <v>324</v>
      </c>
      <c r="BR2" s="229" t="s">
        <v>203</v>
      </c>
      <c r="BS2" s="229" t="s">
        <v>325</v>
      </c>
      <c r="BT2" s="229" t="s">
        <v>300</v>
      </c>
      <c r="BU2" s="229" t="s">
        <v>301</v>
      </c>
      <c r="BV2" s="229" t="s">
        <v>302</v>
      </c>
      <c r="BW2" s="229" t="s">
        <v>303</v>
      </c>
      <c r="BX2" s="229" t="s">
        <v>304</v>
      </c>
      <c r="BY2" s="229" t="s">
        <v>305</v>
      </c>
      <c r="BZ2" s="229" t="s">
        <v>306</v>
      </c>
      <c r="CA2" s="229" t="s">
        <v>307</v>
      </c>
      <c r="CB2" s="229" t="s">
        <v>308</v>
      </c>
      <c r="CC2" s="229" t="s">
        <v>309</v>
      </c>
      <c r="CD2" s="229" t="s">
        <v>310</v>
      </c>
      <c r="CE2" s="229" t="s">
        <v>311</v>
      </c>
      <c r="CF2" s="229" t="s">
        <v>312</v>
      </c>
      <c r="CG2" s="229" t="s">
        <v>313</v>
      </c>
      <c r="CH2" s="229" t="s">
        <v>314</v>
      </c>
      <c r="CI2" s="229" t="s">
        <v>315</v>
      </c>
      <c r="CJ2" s="229" t="s">
        <v>316</v>
      </c>
      <c r="CK2" s="229" t="s">
        <v>317</v>
      </c>
      <c r="CL2" s="229" t="s">
        <v>318</v>
      </c>
      <c r="CM2" s="229" t="s">
        <v>319</v>
      </c>
      <c r="CN2" s="229" t="s">
        <v>320</v>
      </c>
      <c r="CO2" s="229" t="s">
        <v>321</v>
      </c>
      <c r="CP2" s="229" t="s">
        <v>322</v>
      </c>
      <c r="CQ2" s="229" t="s">
        <v>176</v>
      </c>
      <c r="CR2" s="229" t="s">
        <v>180</v>
      </c>
      <c r="CS2" s="229" t="s">
        <v>193</v>
      </c>
      <c r="CT2" s="229" t="s">
        <v>323</v>
      </c>
      <c r="CU2" s="229" t="s">
        <v>185</v>
      </c>
      <c r="CV2" s="229" t="s">
        <v>202</v>
      </c>
      <c r="CW2" s="229" t="s">
        <v>324</v>
      </c>
      <c r="CX2" s="229" t="s">
        <v>203</v>
      </c>
      <c r="CY2" s="229" t="s">
        <v>325</v>
      </c>
    </row>
    <row r="3" spans="1:103">
      <c r="A3" s="226" t="s">
        <v>7</v>
      </c>
      <c r="B3" s="223">
        <v>0</v>
      </c>
      <c r="C3" s="220">
        <v>0.3</v>
      </c>
      <c r="D3" s="239">
        <v>0</v>
      </c>
      <c r="E3" s="239">
        <v>0</v>
      </c>
      <c r="F3" s="223">
        <v>0</v>
      </c>
      <c r="G3" s="223">
        <v>0</v>
      </c>
      <c r="H3" s="223">
        <v>0</v>
      </c>
      <c r="I3" s="223">
        <v>0</v>
      </c>
      <c r="J3" s="223">
        <v>0</v>
      </c>
      <c r="K3" s="223">
        <v>0</v>
      </c>
      <c r="L3" s="223">
        <v>0</v>
      </c>
      <c r="M3" s="223">
        <v>0</v>
      </c>
      <c r="N3" s="223">
        <v>0</v>
      </c>
      <c r="O3" s="223">
        <v>0</v>
      </c>
      <c r="P3" s="223">
        <v>0</v>
      </c>
      <c r="Q3" s="223">
        <v>0</v>
      </c>
      <c r="R3" s="223">
        <v>0</v>
      </c>
      <c r="S3" s="223">
        <v>0</v>
      </c>
      <c r="T3" s="223">
        <v>0</v>
      </c>
      <c r="U3" s="223">
        <v>0</v>
      </c>
      <c r="V3" s="231">
        <v>0</v>
      </c>
      <c r="W3" s="231">
        <v>0</v>
      </c>
      <c r="X3" s="223">
        <v>0</v>
      </c>
      <c r="Y3" s="231">
        <v>0</v>
      </c>
      <c r="Z3" s="219">
        <v>0</v>
      </c>
      <c r="AA3" s="219">
        <v>0</v>
      </c>
      <c r="AB3" s="231">
        <v>0</v>
      </c>
      <c r="AC3" s="219">
        <v>0</v>
      </c>
      <c r="AD3" s="219">
        <v>0</v>
      </c>
      <c r="AE3" s="219">
        <v>0</v>
      </c>
      <c r="AF3" s="219">
        <v>0</v>
      </c>
      <c r="AG3" s="219">
        <v>0</v>
      </c>
      <c r="AH3" s="219">
        <v>0</v>
      </c>
      <c r="AI3" s="219">
        <v>0</v>
      </c>
      <c r="AJ3" s="223">
        <v>0</v>
      </c>
      <c r="AK3" s="223">
        <v>0</v>
      </c>
      <c r="AL3" s="223">
        <v>0</v>
      </c>
      <c r="AM3" s="219">
        <v>0</v>
      </c>
      <c r="AN3" s="223">
        <v>0</v>
      </c>
      <c r="AO3" s="223">
        <v>0</v>
      </c>
      <c r="AP3" s="223">
        <v>0</v>
      </c>
      <c r="AQ3" s="223">
        <v>0</v>
      </c>
      <c r="AR3" s="223">
        <v>0</v>
      </c>
      <c r="AS3" s="223">
        <v>0</v>
      </c>
      <c r="AT3" s="223">
        <v>0</v>
      </c>
      <c r="AU3" s="223">
        <v>0</v>
      </c>
      <c r="AV3" s="223">
        <v>0</v>
      </c>
      <c r="AW3" s="223">
        <v>0</v>
      </c>
      <c r="AX3" s="223">
        <v>0</v>
      </c>
      <c r="AY3" s="231">
        <v>0</v>
      </c>
      <c r="AZ3" s="231">
        <v>0</v>
      </c>
      <c r="BA3" s="223">
        <v>0</v>
      </c>
      <c r="BB3" s="231">
        <v>0</v>
      </c>
      <c r="BC3" s="231">
        <v>0</v>
      </c>
      <c r="BD3" s="231">
        <v>0</v>
      </c>
      <c r="BE3" s="231">
        <v>0</v>
      </c>
      <c r="BF3" s="219">
        <v>0</v>
      </c>
      <c r="BG3" s="219">
        <v>0</v>
      </c>
      <c r="BH3" s="231">
        <v>0</v>
      </c>
      <c r="BI3" s="219">
        <v>0</v>
      </c>
      <c r="BJ3" s="219">
        <v>0</v>
      </c>
      <c r="BK3" s="219">
        <v>0</v>
      </c>
      <c r="BL3" s="219">
        <v>0</v>
      </c>
      <c r="BM3" s="219">
        <v>0</v>
      </c>
      <c r="BN3" s="219">
        <v>0</v>
      </c>
      <c r="BO3" s="219">
        <v>0</v>
      </c>
      <c r="BP3" s="223">
        <v>0</v>
      </c>
      <c r="BQ3" s="223">
        <v>0</v>
      </c>
      <c r="BR3" s="223">
        <v>0</v>
      </c>
      <c r="BS3" s="219">
        <v>0</v>
      </c>
      <c r="BT3" s="223">
        <v>0</v>
      </c>
      <c r="BU3" s="223">
        <v>0</v>
      </c>
      <c r="BV3" s="223">
        <v>0</v>
      </c>
      <c r="BW3" s="223">
        <v>0</v>
      </c>
      <c r="BX3" s="223">
        <v>0</v>
      </c>
      <c r="BY3" s="223">
        <v>0</v>
      </c>
      <c r="BZ3" s="223">
        <v>0</v>
      </c>
      <c r="CA3" s="223">
        <v>0</v>
      </c>
      <c r="CB3" s="231">
        <v>0</v>
      </c>
      <c r="CC3" s="231">
        <v>0</v>
      </c>
      <c r="CD3" s="223">
        <v>0</v>
      </c>
      <c r="CE3" s="231">
        <v>0</v>
      </c>
      <c r="CF3" s="231">
        <v>0</v>
      </c>
      <c r="CG3" s="231">
        <v>0</v>
      </c>
      <c r="CH3" s="231">
        <v>0</v>
      </c>
      <c r="CI3" s="231">
        <v>0</v>
      </c>
      <c r="CJ3" s="231">
        <v>0</v>
      </c>
      <c r="CK3" s="231">
        <v>0</v>
      </c>
      <c r="CL3" s="220">
        <v>0</v>
      </c>
      <c r="CM3" s="220">
        <v>0</v>
      </c>
      <c r="CN3" s="231">
        <v>0</v>
      </c>
      <c r="CO3" s="219">
        <v>0</v>
      </c>
      <c r="CP3" s="219">
        <v>0</v>
      </c>
      <c r="CQ3" s="219">
        <v>0</v>
      </c>
      <c r="CR3" s="219">
        <v>0</v>
      </c>
      <c r="CS3" s="219">
        <v>0</v>
      </c>
      <c r="CT3" s="219">
        <v>0</v>
      </c>
      <c r="CU3" s="219">
        <v>0</v>
      </c>
      <c r="CV3" s="223">
        <v>0</v>
      </c>
      <c r="CW3" s="223">
        <v>0</v>
      </c>
      <c r="CX3" s="223">
        <v>0</v>
      </c>
      <c r="CY3" s="219">
        <v>0</v>
      </c>
    </row>
  </sheetData>
  <mergeCells count="4">
    <mergeCell ref="A1:E1"/>
    <mergeCell ref="BT1:CY1"/>
    <mergeCell ref="AN1:BS1"/>
    <mergeCell ref="H1:AM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CFA0D-064A-4288-BDEB-834E15F78939}">
  <sheetPr codeName="Sheet11"/>
  <dimension ref="A4:EA20"/>
  <sheetViews>
    <sheetView zoomScaleNormal="100" workbookViewId="0">
      <selection activeCell="I21" sqref="I21"/>
    </sheetView>
  </sheetViews>
  <sheetFormatPr defaultColWidth="0" defaultRowHeight="15"/>
  <cols>
    <col min="1" max="1" width="4.42578125" style="13" customWidth="1"/>
    <col min="2" max="2" width="4.140625" style="13" customWidth="1"/>
    <col min="3" max="3" width="13.85546875" style="13" customWidth="1"/>
    <col min="4" max="9" width="18.7109375" style="13" customWidth="1"/>
    <col min="10" max="10" width="19.28515625" style="13" customWidth="1"/>
    <col min="11" max="18" width="17.85546875" style="13" customWidth="1"/>
    <col min="19" max="19" width="17.85546875" style="13" bestFit="1" customWidth="1"/>
    <col min="20" max="20" width="14.140625" style="13" bestFit="1" customWidth="1"/>
    <col min="21" max="22" width="14.140625" style="13" customWidth="1"/>
    <col min="23" max="23" width="18.42578125" style="13" customWidth="1"/>
    <col min="24" max="24" width="17.85546875" style="13" customWidth="1"/>
    <col min="25" max="25" width="14.140625" style="13" customWidth="1"/>
    <col min="26" max="26" width="18.140625" style="13" customWidth="1"/>
    <col min="27" max="27" width="18.5703125" style="13" customWidth="1"/>
    <col min="28" max="29" width="13.7109375" style="13" customWidth="1"/>
    <col min="30" max="30" width="19.5703125" style="13" customWidth="1"/>
    <col min="31" max="32" width="13.7109375" style="13" customWidth="1"/>
    <col min="33" max="33" width="13.85546875" style="13" customWidth="1"/>
    <col min="34" max="34" width="14.7109375" style="13" customWidth="1"/>
    <col min="35" max="35" width="11.5703125" style="13" customWidth="1"/>
    <col min="36" max="36" width="11.7109375" style="13" customWidth="1"/>
    <col min="37" max="37" width="12.7109375" style="13" customWidth="1"/>
    <col min="38" max="41" width="18.85546875" style="13" customWidth="1"/>
    <col min="42" max="42" width="19.42578125" style="13" customWidth="1"/>
    <col min="43" max="43" width="16.140625" style="13" bestFit="1" customWidth="1"/>
    <col min="44" max="44" width="17.140625" style="13" customWidth="1"/>
    <col min="45" max="45" width="15.85546875" style="13" customWidth="1"/>
    <col min="46" max="46" width="17.85546875" style="13" bestFit="1" customWidth="1"/>
    <col min="47" max="56" width="17.85546875" style="13" customWidth="1"/>
    <col min="57" max="57" width="17.85546875" style="13" bestFit="1" customWidth="1"/>
    <col min="58" max="58" width="17.85546875" style="13" customWidth="1"/>
    <col min="59" max="59" width="18.5703125" style="13" customWidth="1"/>
    <col min="60" max="61" width="14.140625" style="13" customWidth="1"/>
    <col min="62" max="62" width="20.28515625" style="13" customWidth="1"/>
    <col min="63" max="64" width="14.140625" style="13" customWidth="1"/>
    <col min="65" max="65" width="17.5703125" style="13" customWidth="1"/>
    <col min="66" max="66" width="14.5703125" style="13" customWidth="1"/>
    <col min="67" max="67" width="14.85546875" style="13" customWidth="1"/>
    <col min="68" max="68" width="14.140625" style="13" customWidth="1"/>
    <col min="69" max="69" width="14.85546875" style="13" customWidth="1"/>
    <col min="70" max="73" width="19.5703125" style="13" customWidth="1"/>
    <col min="74" max="74" width="20.42578125" style="13" customWidth="1"/>
    <col min="75" max="75" width="16.140625" style="13" bestFit="1" customWidth="1"/>
    <col min="76" max="76" width="17.140625" style="13" customWidth="1"/>
    <col min="77" max="77" width="14.42578125" style="13" customWidth="1"/>
    <col min="78" max="78" width="17.85546875" style="13" bestFit="1" customWidth="1"/>
    <col min="79" max="88" width="17.85546875" style="13" customWidth="1"/>
    <col min="89" max="89" width="17.85546875" style="13" bestFit="1" customWidth="1"/>
    <col min="90" max="90" width="16.85546875" style="13" customWidth="1"/>
    <col min="91" max="91" width="18.28515625" style="13" customWidth="1"/>
    <col min="92" max="93" width="14.140625" style="13" customWidth="1"/>
    <col min="94" max="94" width="19.28515625" style="13" customWidth="1"/>
    <col min="95" max="96" width="14.140625" style="13" customWidth="1"/>
    <col min="97" max="97" width="12" style="13" customWidth="1"/>
    <col min="98" max="98" width="13.42578125" style="13" customWidth="1"/>
    <col min="99" max="99" width="14.5703125" style="13" customWidth="1"/>
    <col min="100" max="100" width="14.140625" style="13" customWidth="1"/>
    <col min="101" max="101" width="12.140625" style="13" customWidth="1"/>
    <col min="102" max="102" width="19.28515625" style="13" customWidth="1"/>
    <col min="103" max="103" width="17.5703125" style="13" customWidth="1"/>
    <col min="104" max="104" width="21" style="13" customWidth="1"/>
    <col min="105" max="105" width="13.5703125" style="13" customWidth="1"/>
    <col min="106" max="110" width="8.7109375" style="13" customWidth="1"/>
    <col min="111" max="131" width="0" hidden="1" customWidth="1"/>
    <col min="132" max="16384" width="8.7109375" hidden="1"/>
  </cols>
  <sheetData>
    <row r="4" spans="1:110" ht="23.45" customHeight="1">
      <c r="B4" s="276" t="s">
        <v>0</v>
      </c>
      <c r="C4" s="276"/>
      <c r="D4" s="276"/>
      <c r="E4" s="276"/>
      <c r="F4" s="276"/>
      <c r="G4" s="276"/>
      <c r="H4" s="276"/>
      <c r="I4" s="276"/>
      <c r="J4" s="276"/>
      <c r="K4" s="276"/>
      <c r="L4" s="276"/>
      <c r="M4" s="276"/>
      <c r="N4" s="276"/>
      <c r="O4" s="276"/>
      <c r="P4" s="276"/>
      <c r="Q4" s="276"/>
      <c r="R4" s="276"/>
      <c r="S4" s="276"/>
      <c r="T4" s="276"/>
      <c r="U4" s="276"/>
      <c r="V4" s="276"/>
      <c r="W4" s="276"/>
      <c r="X4" s="276"/>
      <c r="Y4" s="276"/>
      <c r="Z4" s="276"/>
      <c r="AA4" s="276"/>
      <c r="AB4" s="276"/>
      <c r="AC4" s="276"/>
      <c r="AD4" s="276"/>
      <c r="AE4" s="276"/>
      <c r="AF4" s="276"/>
      <c r="AG4" s="276"/>
      <c r="AH4" s="276"/>
      <c r="AI4" s="276"/>
      <c r="AJ4" s="276"/>
      <c r="AK4" s="276"/>
      <c r="AL4" s="276"/>
      <c r="AM4" s="276"/>
      <c r="AN4" s="276"/>
      <c r="AO4" s="276"/>
      <c r="AP4" s="276"/>
      <c r="AQ4" s="276"/>
      <c r="AR4" s="276"/>
    </row>
    <row r="5" spans="1:110" ht="23.45" customHeight="1">
      <c r="B5" s="276" t="s">
        <v>326</v>
      </c>
      <c r="C5" s="276"/>
      <c r="D5" s="276"/>
      <c r="E5" s="276"/>
      <c r="F5" s="276"/>
      <c r="G5" s="276"/>
      <c r="H5" s="276"/>
      <c r="I5" s="276"/>
      <c r="J5" s="276"/>
      <c r="K5" s="276"/>
      <c r="L5" s="276"/>
      <c r="M5" s="276"/>
      <c r="N5" s="276"/>
      <c r="O5" s="276"/>
      <c r="P5" s="276"/>
      <c r="Q5" s="276"/>
      <c r="R5" s="276"/>
      <c r="S5" s="276"/>
      <c r="T5" s="276"/>
      <c r="U5" s="276"/>
      <c r="V5" s="276"/>
      <c r="W5" s="276"/>
      <c r="X5" s="276"/>
      <c r="Y5" s="276"/>
      <c r="Z5" s="276"/>
      <c r="AA5" s="276"/>
      <c r="AB5" s="276"/>
      <c r="AC5" s="276"/>
      <c r="AD5" s="276"/>
      <c r="AE5" s="276"/>
      <c r="AF5" s="276"/>
      <c r="AG5" s="276"/>
      <c r="AH5" s="276"/>
      <c r="AI5" s="276"/>
      <c r="AJ5" s="276"/>
      <c r="AK5" s="276"/>
      <c r="AL5" s="276"/>
      <c r="AM5" s="276"/>
      <c r="AN5" s="276"/>
      <c r="AO5" s="276"/>
      <c r="AP5" s="276"/>
      <c r="AQ5" s="276"/>
      <c r="AR5" s="276"/>
    </row>
    <row r="6" spans="1:110" ht="23.45" customHeight="1">
      <c r="B6" s="153"/>
      <c r="C6" s="227"/>
      <c r="D6" s="221"/>
      <c r="E6" s="221"/>
      <c r="F6" s="221"/>
      <c r="G6" s="221"/>
      <c r="H6" s="221"/>
      <c r="I6" s="221"/>
      <c r="J6" s="221"/>
      <c r="K6" s="221"/>
      <c r="L6" s="221"/>
      <c r="M6" s="221"/>
      <c r="N6" s="221"/>
      <c r="O6" s="221"/>
      <c r="P6" s="221"/>
      <c r="Q6" s="221"/>
      <c r="R6" s="221"/>
      <c r="S6" s="221"/>
      <c r="T6" s="221"/>
      <c r="U6" s="221"/>
      <c r="V6" s="221"/>
      <c r="W6" s="221"/>
      <c r="X6" s="221"/>
      <c r="Y6" s="221"/>
      <c r="Z6" s="221"/>
      <c r="AA6" s="221"/>
      <c r="AB6" s="221"/>
      <c r="AC6" s="221"/>
      <c r="AD6" s="221"/>
      <c r="AE6" s="221"/>
      <c r="AF6" s="221"/>
      <c r="AG6" s="221"/>
      <c r="AH6" s="221"/>
      <c r="AI6" s="221"/>
      <c r="AJ6" s="221"/>
      <c r="AK6" s="221"/>
      <c r="AL6" s="221"/>
      <c r="AM6" s="221"/>
      <c r="AN6" s="221"/>
      <c r="AO6" s="221"/>
      <c r="AP6" s="221"/>
      <c r="AQ6" s="221"/>
      <c r="AR6" s="221"/>
      <c r="AS6" s="221"/>
      <c r="AT6" s="221"/>
      <c r="AU6" s="153"/>
      <c r="AV6" s="153"/>
      <c r="AW6" s="153"/>
      <c r="AX6" s="153"/>
      <c r="AY6" s="153"/>
      <c r="AZ6" s="153"/>
      <c r="BA6" s="153"/>
      <c r="BB6" s="153"/>
      <c r="BC6" s="153"/>
      <c r="BD6" s="153"/>
    </row>
    <row r="8" spans="1:110">
      <c r="B8" s="295"/>
      <c r="C8" s="295"/>
      <c r="D8" s="295"/>
      <c r="E8" s="295"/>
      <c r="F8" s="232"/>
      <c r="G8" s="232"/>
      <c r="H8" s="232"/>
      <c r="I8" s="232"/>
    </row>
    <row r="10" spans="1:110">
      <c r="C10" s="287" t="s">
        <v>291</v>
      </c>
      <c r="D10" s="287"/>
      <c r="E10" s="287"/>
      <c r="F10" s="287"/>
      <c r="G10" s="287"/>
      <c r="H10" s="256"/>
      <c r="I10" s="256"/>
      <c r="J10" s="293" t="s">
        <v>327</v>
      </c>
      <c r="K10" s="293"/>
      <c r="L10" s="293"/>
      <c r="M10" s="293"/>
      <c r="N10" s="293"/>
      <c r="O10" s="293"/>
      <c r="P10" s="293"/>
      <c r="Q10" s="293"/>
      <c r="R10" s="293"/>
      <c r="S10" s="293"/>
      <c r="T10" s="293"/>
      <c r="U10" s="293"/>
      <c r="V10" s="293"/>
      <c r="W10" s="293"/>
      <c r="X10" s="293"/>
      <c r="Y10" s="293"/>
      <c r="Z10" s="293"/>
      <c r="AA10" s="293"/>
      <c r="AB10" s="293"/>
      <c r="AC10" s="293"/>
      <c r="AD10" s="293"/>
      <c r="AE10" s="293"/>
      <c r="AF10" s="293"/>
      <c r="AG10" s="293"/>
      <c r="AH10" s="293"/>
      <c r="AI10" s="293"/>
      <c r="AJ10" s="293"/>
      <c r="AK10" s="293"/>
      <c r="AL10" s="293"/>
      <c r="AM10" s="293"/>
      <c r="AN10" s="293"/>
      <c r="AO10" s="294"/>
      <c r="AP10" s="290" t="s">
        <v>106</v>
      </c>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2"/>
      <c r="BV10" s="296" t="s">
        <v>293</v>
      </c>
      <c r="BW10" s="297"/>
      <c r="BX10" s="297"/>
      <c r="BY10" s="297"/>
      <c r="BZ10" s="297"/>
      <c r="CA10" s="297"/>
      <c r="CB10" s="297"/>
      <c r="CC10" s="297"/>
      <c r="CD10" s="297"/>
      <c r="CE10" s="297"/>
      <c r="CF10" s="297"/>
      <c r="CG10" s="297"/>
      <c r="CH10" s="297"/>
      <c r="CI10" s="297"/>
      <c r="CJ10" s="297"/>
      <c r="CK10" s="297"/>
      <c r="CL10" s="297"/>
      <c r="CM10" s="297"/>
      <c r="CN10" s="297"/>
      <c r="CO10" s="297"/>
      <c r="CP10" s="297"/>
      <c r="CQ10" s="297"/>
      <c r="CR10" s="297"/>
      <c r="CS10" s="297"/>
      <c r="CT10" s="297"/>
      <c r="CU10" s="297"/>
      <c r="CV10" s="297"/>
      <c r="CW10" s="297"/>
      <c r="CX10" s="297"/>
      <c r="CY10" s="297"/>
      <c r="CZ10" s="297"/>
      <c r="DA10" s="297"/>
    </row>
    <row r="11" spans="1:110" s="230" customFormat="1" ht="37.5" customHeight="1">
      <c r="A11" s="228"/>
      <c r="B11" s="228"/>
      <c r="C11" s="229" t="s">
        <v>294</v>
      </c>
      <c r="D11" s="229" t="s">
        <v>295</v>
      </c>
      <c r="E11" s="229" t="s">
        <v>296</v>
      </c>
      <c r="F11" s="229" t="s">
        <v>297</v>
      </c>
      <c r="G11" s="229" t="s">
        <v>255</v>
      </c>
      <c r="H11" s="229" t="s">
        <v>298</v>
      </c>
      <c r="I11" s="229" t="s">
        <v>299</v>
      </c>
      <c r="J11" s="229" t="s">
        <v>300</v>
      </c>
      <c r="K11" s="229" t="s">
        <v>301</v>
      </c>
      <c r="L11" s="229" t="s">
        <v>302</v>
      </c>
      <c r="M11" s="229" t="s">
        <v>303</v>
      </c>
      <c r="N11" s="229" t="s">
        <v>304</v>
      </c>
      <c r="O11" s="229" t="s">
        <v>305</v>
      </c>
      <c r="P11" s="229" t="s">
        <v>306</v>
      </c>
      <c r="Q11" s="229" t="s">
        <v>307</v>
      </c>
      <c r="R11" s="229" t="s">
        <v>308</v>
      </c>
      <c r="S11" s="229" t="s">
        <v>309</v>
      </c>
      <c r="T11" s="229" t="s">
        <v>310</v>
      </c>
      <c r="U11" s="229" t="s">
        <v>311</v>
      </c>
      <c r="V11" s="229" t="s">
        <v>312</v>
      </c>
      <c r="W11" s="229" t="s">
        <v>313</v>
      </c>
      <c r="X11" s="229" t="s">
        <v>314</v>
      </c>
      <c r="Y11" s="229" t="s">
        <v>315</v>
      </c>
      <c r="Z11" s="229" t="s">
        <v>316</v>
      </c>
      <c r="AA11" s="229" t="s">
        <v>317</v>
      </c>
      <c r="AB11" s="229" t="s">
        <v>318</v>
      </c>
      <c r="AC11" s="229" t="s">
        <v>319</v>
      </c>
      <c r="AD11" s="229" t="s">
        <v>320</v>
      </c>
      <c r="AE11" s="229" t="s">
        <v>321</v>
      </c>
      <c r="AF11" s="229" t="s">
        <v>322</v>
      </c>
      <c r="AG11" s="229" t="s">
        <v>176</v>
      </c>
      <c r="AH11" s="229" t="s">
        <v>180</v>
      </c>
      <c r="AI11" s="229" t="s">
        <v>193</v>
      </c>
      <c r="AJ11" s="229" t="s">
        <v>323</v>
      </c>
      <c r="AK11" s="229" t="s">
        <v>185</v>
      </c>
      <c r="AL11" s="229" t="s">
        <v>202</v>
      </c>
      <c r="AM11" s="229" t="s">
        <v>324</v>
      </c>
      <c r="AN11" s="229" t="s">
        <v>203</v>
      </c>
      <c r="AO11" s="229" t="s">
        <v>325</v>
      </c>
      <c r="AP11" s="229" t="s">
        <v>300</v>
      </c>
      <c r="AQ11" s="229" t="s">
        <v>301</v>
      </c>
      <c r="AR11" s="229" t="s">
        <v>302</v>
      </c>
      <c r="AS11" s="229" t="s">
        <v>303</v>
      </c>
      <c r="AT11" s="229" t="s">
        <v>304</v>
      </c>
      <c r="AU11" s="229" t="s">
        <v>305</v>
      </c>
      <c r="AV11" s="229" t="s">
        <v>306</v>
      </c>
      <c r="AW11" s="229" t="s">
        <v>307</v>
      </c>
      <c r="AX11" s="229" t="s">
        <v>308</v>
      </c>
      <c r="AY11" s="229" t="s">
        <v>309</v>
      </c>
      <c r="AZ11" s="229" t="s">
        <v>310</v>
      </c>
      <c r="BA11" s="229" t="s">
        <v>311</v>
      </c>
      <c r="BB11" s="229" t="s">
        <v>312</v>
      </c>
      <c r="BC11" s="229" t="s">
        <v>313</v>
      </c>
      <c r="BD11" s="229" t="s">
        <v>314</v>
      </c>
      <c r="BE11" s="229" t="s">
        <v>315</v>
      </c>
      <c r="BF11" s="229" t="s">
        <v>316</v>
      </c>
      <c r="BG11" s="229" t="s">
        <v>317</v>
      </c>
      <c r="BH11" s="229" t="s">
        <v>318</v>
      </c>
      <c r="BI11" s="229" t="s">
        <v>319</v>
      </c>
      <c r="BJ11" s="229" t="s">
        <v>320</v>
      </c>
      <c r="BK11" s="229" t="s">
        <v>321</v>
      </c>
      <c r="BL11" s="229" t="s">
        <v>322</v>
      </c>
      <c r="BM11" s="229" t="s">
        <v>176</v>
      </c>
      <c r="BN11" s="229" t="s">
        <v>180</v>
      </c>
      <c r="BO11" s="229" t="s">
        <v>193</v>
      </c>
      <c r="BP11" s="229" t="s">
        <v>323</v>
      </c>
      <c r="BQ11" s="229" t="s">
        <v>185</v>
      </c>
      <c r="BR11" s="229" t="s">
        <v>202</v>
      </c>
      <c r="BS11" s="229" t="s">
        <v>324</v>
      </c>
      <c r="BT11" s="229" t="s">
        <v>203</v>
      </c>
      <c r="BU11" s="229" t="s">
        <v>325</v>
      </c>
      <c r="BV11" s="229" t="s">
        <v>300</v>
      </c>
      <c r="BW11" s="229" t="s">
        <v>301</v>
      </c>
      <c r="BX11" s="229" t="s">
        <v>302</v>
      </c>
      <c r="BY11" s="229" t="s">
        <v>303</v>
      </c>
      <c r="BZ11" s="229" t="s">
        <v>304</v>
      </c>
      <c r="CA11" s="229" t="s">
        <v>305</v>
      </c>
      <c r="CB11" s="229" t="s">
        <v>306</v>
      </c>
      <c r="CC11" s="229" t="s">
        <v>307</v>
      </c>
      <c r="CD11" s="229" t="s">
        <v>308</v>
      </c>
      <c r="CE11" s="229" t="s">
        <v>309</v>
      </c>
      <c r="CF11" s="229" t="s">
        <v>310</v>
      </c>
      <c r="CG11" s="229" t="s">
        <v>311</v>
      </c>
      <c r="CH11" s="229" t="s">
        <v>312</v>
      </c>
      <c r="CI11" s="229" t="s">
        <v>313</v>
      </c>
      <c r="CJ11" s="229" t="s">
        <v>314</v>
      </c>
      <c r="CK11" s="229" t="s">
        <v>315</v>
      </c>
      <c r="CL11" s="229" t="s">
        <v>316</v>
      </c>
      <c r="CM11" s="229" t="s">
        <v>317</v>
      </c>
      <c r="CN11" s="229" t="s">
        <v>318</v>
      </c>
      <c r="CO11" s="229" t="s">
        <v>319</v>
      </c>
      <c r="CP11" s="229" t="s">
        <v>320</v>
      </c>
      <c r="CQ11" s="229" t="s">
        <v>321</v>
      </c>
      <c r="CR11" s="229" t="s">
        <v>322</v>
      </c>
      <c r="CS11" s="229" t="s">
        <v>176</v>
      </c>
      <c r="CT11" s="229" t="s">
        <v>180</v>
      </c>
      <c r="CU11" s="229" t="s">
        <v>193</v>
      </c>
      <c r="CV11" s="229" t="s">
        <v>323</v>
      </c>
      <c r="CW11" s="229" t="s">
        <v>185</v>
      </c>
      <c r="CX11" s="229" t="s">
        <v>202</v>
      </c>
      <c r="CY11" s="229" t="s">
        <v>324</v>
      </c>
      <c r="CZ11" s="229" t="s">
        <v>203</v>
      </c>
      <c r="DA11" s="229" t="s">
        <v>325</v>
      </c>
      <c r="DB11" s="228"/>
      <c r="DC11" s="228"/>
      <c r="DD11" s="228"/>
      <c r="DE11" s="228"/>
      <c r="DF11" s="228"/>
    </row>
    <row r="12" spans="1:110">
      <c r="C12" s="226" t="str">
        <f>application_name</f>
        <v xml:space="preserve">  </v>
      </c>
      <c r="D12" s="218">
        <f>initial_investment</f>
        <v>0</v>
      </c>
      <c r="E12" s="220">
        <f>it_operational_productivity</f>
        <v>0.3</v>
      </c>
      <c r="F12" s="235">
        <f>number_of_months_of_implementation</f>
        <v>0</v>
      </c>
      <c r="G12" s="236">
        <f ca="1">payback</f>
        <v>0</v>
      </c>
      <c r="H12" s="218" cm="1">
        <f t="array" ref="H12">Modernization_Development_Cost</f>
        <v>0</v>
      </c>
      <c r="I12" s="218" cm="1">
        <f t="array" aca="1" ref="I12" ca="1">Cost_of_change_Legacy_cost_while_implementing_cloud</f>
        <v>0</v>
      </c>
      <c r="J12" s="218">
        <f>it_salary_legacy_cost_1_year</f>
        <v>0</v>
      </c>
      <c r="K12" s="218">
        <f>unexpected_legacy_cost_1_year</f>
        <v>0</v>
      </c>
      <c r="L12" s="218">
        <f>infrastructure_legacy_cost_1_year</f>
        <v>0</v>
      </c>
      <c r="M12" s="218">
        <f ca="1">licensing_legacy_cost_1_year</f>
        <v>0</v>
      </c>
      <c r="N12" s="218">
        <f ca="1">operational_legacy_cost_1_year</f>
        <v>0</v>
      </c>
      <c r="O12" s="218">
        <f>downtime_legacy_costs_1_year</f>
        <v>0</v>
      </c>
      <c r="P12" s="218">
        <f>shut_down_legacy_cost_1_year</f>
        <v>0</v>
      </c>
      <c r="Q12" s="218">
        <f>business_legacy_cost_1_year</f>
        <v>0</v>
      </c>
      <c r="R12" s="218">
        <f ca="1">total_legacy_cost_1_year</f>
        <v>0</v>
      </c>
      <c r="S12" s="218">
        <f>it_salary_cloud_cost_1_year</f>
        <v>0</v>
      </c>
      <c r="T12" s="218">
        <f>unexpected_cloud_cost_1_year</f>
        <v>0</v>
      </c>
      <c r="U12" s="218">
        <f>infrastructure_cloud_cost_1_year</f>
        <v>0</v>
      </c>
      <c r="V12" s="218">
        <f>licensing_cloud_cost_1_year</f>
        <v>0</v>
      </c>
      <c r="W12" s="218">
        <f>operational_cloud_cost_1_year</f>
        <v>0</v>
      </c>
      <c r="X12" s="218">
        <f>downtime_cloud_costs_1_year</f>
        <v>0</v>
      </c>
      <c r="Y12" s="218">
        <f>shut_down_cloud_cost_1_year</f>
        <v>0</v>
      </c>
      <c r="Z12" s="218">
        <f>business_cloud_cost_1_year</f>
        <v>0</v>
      </c>
      <c r="AA12" s="218">
        <f>total_cloud_cost_1_year</f>
        <v>0</v>
      </c>
      <c r="AB12" s="220">
        <f ca="1">TCO_reduction_1_year_percentage</f>
        <v>0</v>
      </c>
      <c r="AC12" s="219">
        <f ca="1">savings_in_operational_expenditures_1_year</f>
        <v>0</v>
      </c>
      <c r="AD12" s="218">
        <f ca="1">earning_from_change_1_year</f>
        <v>0</v>
      </c>
      <c r="AE12" s="219">
        <f ca="1">ROI_1_year</f>
        <v>0</v>
      </c>
      <c r="AF12" s="219">
        <f>productivity_1_year</f>
        <v>0</v>
      </c>
      <c r="AG12" s="220">
        <f>saving_app_shut_down_cost_percentage_1_year</f>
        <v>0</v>
      </c>
      <c r="AH12" s="220">
        <f>saving_app_slow_down_cost_percentage_1_year</f>
        <v>0</v>
      </c>
      <c r="AI12" s="220">
        <f>saving_IT_unexpected_cost_percentage_1_year</f>
        <v>0</v>
      </c>
      <c r="AJ12" s="220">
        <f>saving_IT_salary_cost_percentage_1_year</f>
        <v>0</v>
      </c>
      <c r="AK12" s="220">
        <f>saving_infrastructure_cost_percentage_1_year</f>
        <v>0</v>
      </c>
      <c r="AL12" s="218">
        <f>Saving_money_show_down_and_slow_down_1_year</f>
        <v>0</v>
      </c>
      <c r="AM12" s="218">
        <f>savings_money_improvements_productivity_1_year</f>
        <v>0</v>
      </c>
      <c r="AN12" s="218">
        <f>salary_money_in_it_operation_salary_unexpected_cost_1_year_productivity</f>
        <v>0</v>
      </c>
      <c r="AO12" s="219">
        <f ca="1">TCO_reduction_1_year_percentage</f>
        <v>0</v>
      </c>
      <c r="AP12" s="218">
        <f>it_salary_legacy_cost_2_year</f>
        <v>0</v>
      </c>
      <c r="AQ12" s="218">
        <f>unexpected_legacy_cost_2_year</f>
        <v>0</v>
      </c>
      <c r="AR12" s="218">
        <f>infrastructure_legacy_cost_2_year</f>
        <v>0</v>
      </c>
      <c r="AS12" s="218">
        <f ca="1">licensing_legacy_cost_2_year</f>
        <v>0</v>
      </c>
      <c r="AT12" s="218">
        <f ca="1">operational_legacy_cost_2_year</f>
        <v>0</v>
      </c>
      <c r="AU12" s="218">
        <f>downtime_legacy_costs_2_year</f>
        <v>0</v>
      </c>
      <c r="AV12" s="218">
        <f>shut_down_legacy_cost_2_year</f>
        <v>0</v>
      </c>
      <c r="AW12" s="218">
        <f>business_legacy_cost_2_year</f>
        <v>0</v>
      </c>
      <c r="AX12" s="218">
        <f ca="1">total_legacy_cost_2_year</f>
        <v>0</v>
      </c>
      <c r="AY12" s="218">
        <f>it_salary_cloud_cost_2_year</f>
        <v>0</v>
      </c>
      <c r="AZ12" s="218">
        <f>unexpected_cloud_cost_2_year</f>
        <v>0</v>
      </c>
      <c r="BA12" s="218">
        <f>infrastructure_cloud_cost_2_year</f>
        <v>0</v>
      </c>
      <c r="BB12" s="218">
        <f>licensing_cloud_cost_2_year</f>
        <v>0</v>
      </c>
      <c r="BC12" s="218">
        <f>operational_cloud_cost_2_year</f>
        <v>0</v>
      </c>
      <c r="BD12" s="218">
        <f>downtime_cloud_costs_2_year</f>
        <v>0</v>
      </c>
      <c r="BE12" s="218">
        <f>shut_down_cloud_cost_2_year</f>
        <v>0</v>
      </c>
      <c r="BF12" s="218">
        <f>business_cloud_cost_2_year</f>
        <v>0</v>
      </c>
      <c r="BG12" s="218">
        <f>total_cloud_cost_2_year</f>
        <v>0</v>
      </c>
      <c r="BH12" s="220">
        <f ca="1">TCO_reduction_2_year_percentage</f>
        <v>0</v>
      </c>
      <c r="BI12" s="219">
        <f ca="1">savings_in_operational_expenditures_2_year</f>
        <v>0</v>
      </c>
      <c r="BJ12" s="218">
        <f ca="1">earning_from_change_2_year</f>
        <v>0</v>
      </c>
      <c r="BK12" s="219">
        <f ca="1">ROI_2_year</f>
        <v>0</v>
      </c>
      <c r="BL12" s="219">
        <f>productivity_2_year</f>
        <v>0</v>
      </c>
      <c r="BM12" s="220">
        <f>saving_app_shut_down_cost_percentage_2_year</f>
        <v>0</v>
      </c>
      <c r="BN12" s="220">
        <f>saving_app_slow_down_cost_percentage_2_year</f>
        <v>0</v>
      </c>
      <c r="BO12" s="220">
        <f>saving_IT_unexpected_cost_percentage_2_year</f>
        <v>0</v>
      </c>
      <c r="BP12" s="220">
        <f>saving_IT_salary_cost_percentage_2_year</f>
        <v>0</v>
      </c>
      <c r="BQ12" s="220">
        <f>saving_infrastructure_cost_percentage_2_year</f>
        <v>0</v>
      </c>
      <c r="BR12" s="218">
        <f>Saving_money_show_down_and_slow_down_2_year</f>
        <v>0</v>
      </c>
      <c r="BS12" s="218">
        <f>saving_money_improvements_productivity_2_year</f>
        <v>0</v>
      </c>
      <c r="BT12" s="218">
        <f>salary_money_in_it_operation_salary_unexpected_cost_2_year_productivity</f>
        <v>0</v>
      </c>
      <c r="BU12" s="219">
        <f ca="1">TCO_reduction_2_year_percentage</f>
        <v>0</v>
      </c>
      <c r="BV12" s="218">
        <f>it_salary_legacy_cost_3_year</f>
        <v>0</v>
      </c>
      <c r="BW12" s="218">
        <f>unexpected_legacy_cost_3_year</f>
        <v>0</v>
      </c>
      <c r="BX12" s="218">
        <f>infrastructure_legacy_cost_3_year</f>
        <v>0</v>
      </c>
      <c r="BY12" s="218">
        <f ca="1">licensing_legacy_cost_3_year</f>
        <v>0</v>
      </c>
      <c r="BZ12" s="218">
        <f ca="1">operational_legacy_cost_3_year</f>
        <v>0</v>
      </c>
      <c r="CA12" s="218">
        <f>downtime_legacy_costs_3_year</f>
        <v>0</v>
      </c>
      <c r="CB12" s="218">
        <f>shut_down_legacy_cost_3_year</f>
        <v>0</v>
      </c>
      <c r="CC12" s="218">
        <f>business_legacy_cost_3_year</f>
        <v>0</v>
      </c>
      <c r="CD12" s="218">
        <f ca="1">total_legacy_cost_3_year</f>
        <v>0</v>
      </c>
      <c r="CE12" s="218">
        <f>it_salary_cloud_cost_3_year</f>
        <v>0</v>
      </c>
      <c r="CF12" s="218">
        <f>unexpected_cloud_cost_3_year</f>
        <v>0</v>
      </c>
      <c r="CG12" s="218">
        <f>infrastructure_cloud_cost_3_year</f>
        <v>0</v>
      </c>
      <c r="CH12" s="218">
        <f>licensing_cloud_cost_3_year</f>
        <v>0</v>
      </c>
      <c r="CI12" s="218">
        <f>operational_cloud_cost_3_year</f>
        <v>0</v>
      </c>
      <c r="CJ12" s="218">
        <f>downtime_cloud_costs_3_year</f>
        <v>0</v>
      </c>
      <c r="CK12" s="218">
        <f>shut_down_cloud_cost_3_year</f>
        <v>0</v>
      </c>
      <c r="CL12" s="218">
        <f>business_cloud_cost_3_year</f>
        <v>0</v>
      </c>
      <c r="CM12" s="218">
        <f>total_cloud_cost_3_year</f>
        <v>0</v>
      </c>
      <c r="CN12" s="220">
        <f ca="1">TCO_reduction_3_year_percentage</f>
        <v>0</v>
      </c>
      <c r="CO12" s="219">
        <f ca="1">savings_in_operational_expenditures_3_year</f>
        <v>0</v>
      </c>
      <c r="CP12" s="218">
        <f ca="1">earning_from_change_3_year</f>
        <v>0</v>
      </c>
      <c r="CQ12" s="219">
        <f ca="1">ROI_3_year</f>
        <v>0</v>
      </c>
      <c r="CR12" s="219">
        <f>productivity_3_year</f>
        <v>0</v>
      </c>
      <c r="CS12" s="220">
        <f>saving_app_shut_down_cost_percentage_3_year</f>
        <v>0</v>
      </c>
      <c r="CT12" s="220">
        <f>saving_app_slow_down_cost_percentage_3_year</f>
        <v>0</v>
      </c>
      <c r="CU12" s="220">
        <f>saving_IT_unexpected_cost_percentage_3_year</f>
        <v>0</v>
      </c>
      <c r="CV12" s="220">
        <f>saving_IT_salary_cost_percentage_3_year</f>
        <v>0</v>
      </c>
      <c r="CW12" s="220">
        <f>saving_infrastructure_cost_percentage_3_year</f>
        <v>0</v>
      </c>
      <c r="CX12" s="238">
        <f>Saving_money_show_down_and_slow_down_3_year</f>
        <v>0</v>
      </c>
      <c r="CY12" s="218">
        <f>savings_money_improvements_productivity_3_year</f>
        <v>0</v>
      </c>
      <c r="CZ12" s="218">
        <f>salary_money_in_it_operation_salary_unexpected_cost_3_year_productivity</f>
        <v>0</v>
      </c>
      <c r="DA12" s="257">
        <f ca="1">TCO_reduction_3_year_percentage</f>
        <v>0</v>
      </c>
    </row>
    <row r="13" spans="1:110" s="13" customFormat="1"/>
    <row r="14" spans="1:110" s="13" customFormat="1"/>
    <row r="15" spans="1:110" s="13" customFormat="1"/>
    <row r="16" spans="1:110" s="13" customFormat="1"/>
    <row r="17" s="13" customFormat="1"/>
    <row r="18" s="13" customFormat="1"/>
    <row r="19" s="13" customFormat="1"/>
    <row r="20" s="13" customFormat="1"/>
  </sheetData>
  <mergeCells count="7">
    <mergeCell ref="B4:AR4"/>
    <mergeCell ref="B5:AR5"/>
    <mergeCell ref="B8:E8"/>
    <mergeCell ref="C10:G10"/>
    <mergeCell ref="BV10:DA10"/>
    <mergeCell ref="AP10:BU10"/>
    <mergeCell ref="J10:AO10"/>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AD6C3A714FC704F8059939D5B7A3CE7" ma:contentTypeVersion="21" ma:contentTypeDescription="Create a new document." ma:contentTypeScope="" ma:versionID="62b4959093bc1464c7737333f420a8d9">
  <xsd:schema xmlns:xsd="http://www.w3.org/2001/XMLSchema" xmlns:xs="http://www.w3.org/2001/XMLSchema" xmlns:p="http://schemas.microsoft.com/office/2006/metadata/properties" xmlns:ns2="4e2a8481-03e3-4852-b35b-e66cd40ea3ae" xmlns:ns3="17316d68-d322-4c2e-8e78-7eaa25143ebe" targetNamespace="http://schemas.microsoft.com/office/2006/metadata/properties" ma:root="true" ma:fieldsID="db7daf41f14269651e3e31dfdf14435b" ns2:_="" ns3:_="">
    <xsd:import namespace="4e2a8481-03e3-4852-b35b-e66cd40ea3ae"/>
    <xsd:import namespace="17316d68-d322-4c2e-8e78-7eaa25143eb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2:MediaServiceLocation" minOccurs="0"/>
                <xsd:element ref="ns2:MediaServiceBillingMetadata" minOccurs="0"/>
                <xsd:element ref="ns2:Responsable" minOccurs="0"/>
                <xsd:element ref="ns2:Link"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2a8481-03e3-4852-b35b-e66cd40ea3a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7f68753-1e36-4716-ad1e-f6d5661a739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indexed="true" ma:internalName="MediaServiceLocation" ma:readOnly="true">
      <xsd:simpleType>
        <xsd:restriction base="dms:Text"/>
      </xsd:simpleType>
    </xsd:element>
    <xsd:element name="MediaServiceBillingMetadata" ma:index="26" nillable="true" ma:displayName="MediaServiceBillingMetadata" ma:hidden="true" ma:internalName="MediaServiceBillingMetadata" ma:readOnly="true">
      <xsd:simpleType>
        <xsd:restriction base="dms:Note"/>
      </xsd:simpleType>
    </xsd:element>
    <xsd:element name="Responsable" ma:index="27" nillable="true" ma:displayName="Responsables" ma:format="Dropdown" ma:list="UserInfo" ma:SharePointGroup="0" ma:internalName="Responsabl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Link" ma:index="28" nillable="true" ma:displayName="Link" ma:format="Hyperlink" ma:internalName="Link">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7316d68-d322-4c2e-8e78-7eaa25143ebe"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657c5b14-0ed6-46f9-8a93-edd9761dd7a9}" ma:internalName="TaxCatchAll" ma:showField="CatchAllData" ma:web="17316d68-d322-4c2e-8e78-7eaa25143eb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17316d68-d322-4c2e-8e78-7eaa25143ebe">
      <UserInfo>
        <DisplayName>Futcher, Charlie</DisplayName>
        <AccountId>3811</AccountId>
        <AccountType/>
      </UserInfo>
    </SharedWithUsers>
    <MediaLengthInSeconds xmlns="4e2a8481-03e3-4852-b35b-e66cd40ea3ae" xsi:nil="true"/>
    <TaxCatchAll xmlns="17316d68-d322-4c2e-8e78-7eaa25143ebe" xsi:nil="true"/>
    <lcf76f155ced4ddcb4097134ff3c332f xmlns="4e2a8481-03e3-4852-b35b-e66cd40ea3ae">
      <Terms xmlns="http://schemas.microsoft.com/office/infopath/2007/PartnerControls"/>
    </lcf76f155ced4ddcb4097134ff3c332f>
    <Responsable xmlns="4e2a8481-03e3-4852-b35b-e66cd40ea3ae">
      <UserInfo>
        <DisplayName/>
        <AccountId xsi:nil="true"/>
        <AccountType/>
      </UserInfo>
    </Responsable>
    <Link xmlns="4e2a8481-03e3-4852-b35b-e66cd40ea3ae">
      <Url xsi:nil="true"/>
      <Description xsi:nil="true"/>
    </Link>
  </documentManagement>
</p:properties>
</file>

<file path=customXml/itemProps1.xml><?xml version="1.0" encoding="utf-8"?>
<ds:datastoreItem xmlns:ds="http://schemas.openxmlformats.org/officeDocument/2006/customXml" ds:itemID="{148D9089-C160-440E-AE04-F80D8B2D65A9}"/>
</file>

<file path=customXml/itemProps2.xml><?xml version="1.0" encoding="utf-8"?>
<ds:datastoreItem xmlns:ds="http://schemas.openxmlformats.org/officeDocument/2006/customXml" ds:itemID="{89631589-912A-4C5E-8604-ED06A23FEBC2}"/>
</file>

<file path=customXml/itemProps3.xml><?xml version="1.0" encoding="utf-8"?>
<ds:datastoreItem xmlns:ds="http://schemas.openxmlformats.org/officeDocument/2006/customXml" ds:itemID="{4FF514A0-936C-47F0-A7CA-F8DD6EF69BD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Natalia Zartha Suárez</dc:creator>
  <cp:keywords/>
  <dc:description/>
  <cp:lastModifiedBy>Zartha, Natalia</cp:lastModifiedBy>
  <cp:revision/>
  <dcterms:created xsi:type="dcterms:W3CDTF">2021-06-15T12:48:05Z</dcterms:created>
  <dcterms:modified xsi:type="dcterms:W3CDTF">2026-04-13T15:44:25Z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0x0101006AD6C3A714FC704F8059939D5B7A3CE7</vt:lpwstr>
  </property>
  <property fmtid="{D5CDD505-2E9C-101B-9397-08002B2CF9AE}" pid="3" name="Order">
    <vt:r8>238600</vt:r8>
  </property>
  <property fmtid="{D5CDD505-2E9C-101B-9397-08002B2CF9AE}" pid="4" name="_ExtendedDescription">
    <vt:lpwstr/>
  </property>
  <property fmtid="{D5CDD505-2E9C-101B-9397-08002B2CF9AE}" pid="5" name="xd_Signature">
    <vt:bool>false</vt:bool>
  </property>
  <property fmtid="{D5CDD505-2E9C-101B-9397-08002B2CF9AE}" pid="6" name="xd_ProgID">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